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14" codeName="{BC58C6B1-8752-B0C3-C2C4-DFD462C6FBC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fred/projets/2023/btssiofichiers/"/>
    </mc:Choice>
  </mc:AlternateContent>
  <xr:revisionPtr revIDLastSave="0" documentId="13_ncr:1_{2F772163-2D57-6848-8D47-C520C6CF6482}" xr6:coauthVersionLast="47" xr6:coauthVersionMax="47" xr10:uidLastSave="{00000000-0000-0000-0000-000000000000}"/>
  <bookViews>
    <workbookView xWindow="7680" yWindow="5300" windowWidth="25600" windowHeight="15500" xr2:uid="{FCD482E3-221C-6349-B6D4-3EC9B786604C}"/>
  </bookViews>
  <sheets>
    <sheet name="E4-2016" sheetId="1" r:id="rId1"/>
    <sheet name="Affectations" sheetId="2" r:id="rId2"/>
    <sheet name="convoc-candidats" sheetId="3" r:id="rId3"/>
    <sheet name="Etablissements" sheetId="7" r:id="rId4"/>
  </sheets>
  <definedNames>
    <definedName name="_xlnm.Print_Area" localSheetId="1">Affectations!$A$1:$AO$46</definedName>
    <definedName name="_xlnm.Print_Area" localSheetId="0">'E4-2016'!$A$1:$G$47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0" i="2" l="1"/>
  <c r="D48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3" i="2"/>
  <c r="G45" i="1"/>
  <c r="I45" i="1"/>
  <c r="I44" i="1"/>
  <c r="I43" i="1"/>
  <c r="G39" i="1"/>
  <c r="G40" i="1"/>
  <c r="G41" i="1"/>
  <c r="G42" i="1"/>
  <c r="G43" i="1"/>
  <c r="G44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" i="1"/>
  <c r="I42" i="1"/>
  <c r="I15" i="1" l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16" i="1"/>
  <c r="I4" i="1"/>
  <c r="I5" i="1"/>
  <c r="I6" i="1"/>
  <c r="I7" i="1"/>
  <c r="I8" i="1"/>
  <c r="I9" i="1"/>
  <c r="I10" i="1"/>
  <c r="I11" i="1"/>
  <c r="I12" i="1"/>
  <c r="I13" i="1"/>
  <c r="I14" i="1"/>
  <c r="I3" i="1"/>
  <c r="D40" i="2"/>
  <c r="D39" i="2"/>
  <c r="D38" i="2"/>
  <c r="AL46" i="2"/>
  <c r="A37" i="2"/>
  <c r="AR37" i="2" s="1"/>
  <c r="B37" i="2"/>
  <c r="C37" i="2"/>
  <c r="D37" i="2"/>
  <c r="AQ37" i="2"/>
  <c r="A38" i="2"/>
  <c r="AR38" i="2" s="1"/>
  <c r="B38" i="2"/>
  <c r="C38" i="2"/>
  <c r="A39" i="2"/>
  <c r="AR39" i="2" s="1"/>
  <c r="B39" i="2"/>
  <c r="C39" i="2"/>
  <c r="A40" i="2"/>
  <c r="AR40" i="2" s="1"/>
  <c r="B40" i="2"/>
  <c r="C40" i="2"/>
  <c r="A41" i="2"/>
  <c r="AR41" i="2" s="1"/>
  <c r="B41" i="2"/>
  <c r="C41" i="2"/>
  <c r="D41" i="2"/>
  <c r="A42" i="2"/>
  <c r="AR42" i="2" s="1"/>
  <c r="B42" i="2"/>
  <c r="C42" i="2"/>
  <c r="A43" i="2"/>
  <c r="AR43" i="2" s="1"/>
  <c r="B43" i="2"/>
  <c r="C43" i="2"/>
  <c r="D43" i="2"/>
  <c r="A44" i="2"/>
  <c r="AR44" i="2" s="1"/>
  <c r="B44" i="2"/>
  <c r="C44" i="2"/>
  <c r="D44" i="2"/>
  <c r="AQ44" i="2"/>
  <c r="A45" i="2"/>
  <c r="AR45" i="2" s="1"/>
  <c r="B45" i="2"/>
  <c r="C45" i="2"/>
  <c r="D45" i="2"/>
  <c r="AQ45" i="2"/>
  <c r="D42" i="2"/>
  <c r="I46" i="1" l="1"/>
  <c r="AQ39" i="2"/>
  <c r="AQ40" i="2"/>
  <c r="AQ41" i="2"/>
  <c r="AQ42" i="2"/>
  <c r="AQ43" i="2"/>
  <c r="AQ38" i="2"/>
  <c r="D35" i="2" l="1"/>
  <c r="D32" i="2"/>
  <c r="D31" i="2"/>
  <c r="D30" i="2"/>
  <c r="D29" i="2"/>
  <c r="D28" i="2"/>
  <c r="D27" i="2"/>
  <c r="D25" i="2"/>
  <c r="D24" i="2"/>
  <c r="D22" i="2"/>
  <c r="D19" i="2"/>
  <c r="D18" i="2"/>
  <c r="D16" i="2"/>
  <c r="D15" i="2"/>
  <c r="D14" i="2"/>
  <c r="D13" i="2"/>
  <c r="AQ13" i="2" s="1"/>
  <c r="D12" i="2"/>
  <c r="D6" i="2"/>
  <c r="D5" i="2"/>
  <c r="D4" i="2"/>
  <c r="D3" i="2"/>
  <c r="D21" i="2"/>
  <c r="D8" i="2"/>
  <c r="D7" i="2"/>
  <c r="D2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" i="2"/>
  <c r="F46" i="1"/>
  <c r="B36" i="2"/>
  <c r="A36" i="2"/>
  <c r="AR36" i="2" s="1"/>
  <c r="B35" i="2"/>
  <c r="A35" i="2"/>
  <c r="AR35" i="2" s="1"/>
  <c r="B34" i="2"/>
  <c r="A34" i="2"/>
  <c r="AR34" i="2" s="1"/>
  <c r="B33" i="2"/>
  <c r="A33" i="2"/>
  <c r="AR33" i="2" s="1"/>
  <c r="B32" i="2"/>
  <c r="A32" i="2"/>
  <c r="AR32" i="2" s="1"/>
  <c r="B31" i="2"/>
  <c r="A31" i="2"/>
  <c r="AR31" i="2" s="1"/>
  <c r="B30" i="2"/>
  <c r="A30" i="2"/>
  <c r="AR30" i="2" s="1"/>
  <c r="B29" i="2"/>
  <c r="A29" i="2"/>
  <c r="AR29" i="2" s="1"/>
  <c r="B28" i="2"/>
  <c r="A28" i="2"/>
  <c r="AR28" i="2" s="1"/>
  <c r="B27" i="2"/>
  <c r="A27" i="2"/>
  <c r="AR27" i="2" s="1"/>
  <c r="B26" i="2"/>
  <c r="A26" i="2"/>
  <c r="AR26" i="2" s="1"/>
  <c r="B25" i="2"/>
  <c r="A25" i="2"/>
  <c r="AR25" i="2" s="1"/>
  <c r="B24" i="2"/>
  <c r="A24" i="2"/>
  <c r="AR24" i="2" s="1"/>
  <c r="B23" i="2"/>
  <c r="A23" i="2"/>
  <c r="AR23" i="2" s="1"/>
  <c r="B22" i="2"/>
  <c r="A22" i="2"/>
  <c r="AR22" i="2" s="1"/>
  <c r="B21" i="2"/>
  <c r="A21" i="2"/>
  <c r="AR21" i="2" s="1"/>
  <c r="B20" i="2"/>
  <c r="A20" i="2"/>
  <c r="AR20" i="2" s="1"/>
  <c r="B19" i="2"/>
  <c r="A19" i="2"/>
  <c r="AR19" i="2" s="1"/>
  <c r="B18" i="2"/>
  <c r="A18" i="2"/>
  <c r="AR18" i="2" s="1"/>
  <c r="B17" i="2"/>
  <c r="A17" i="2"/>
  <c r="AR17" i="2" s="1"/>
  <c r="B16" i="2"/>
  <c r="A16" i="2"/>
  <c r="AR16" i="2" s="1"/>
  <c r="B15" i="2"/>
  <c r="A15" i="2"/>
  <c r="AR15" i="2" s="1"/>
  <c r="B14" i="2"/>
  <c r="A14" i="2"/>
  <c r="AR14" i="2" s="1"/>
  <c r="B13" i="2"/>
  <c r="A13" i="2"/>
  <c r="AR13" i="2" s="1"/>
  <c r="B12" i="2"/>
  <c r="A12" i="2"/>
  <c r="AR12" i="2" s="1"/>
  <c r="B11" i="2"/>
  <c r="A11" i="2"/>
  <c r="AR11" i="2" s="1"/>
  <c r="B10" i="2"/>
  <c r="A10" i="2"/>
  <c r="AR10" i="2" s="1"/>
  <c r="B9" i="2"/>
  <c r="A9" i="2"/>
  <c r="AR9" i="2" s="1"/>
  <c r="B8" i="2"/>
  <c r="A8" i="2"/>
  <c r="AR8" i="2" s="1"/>
  <c r="B7" i="2"/>
  <c r="A7" i="2"/>
  <c r="AR7" i="2" s="1"/>
  <c r="B6" i="2"/>
  <c r="A6" i="2"/>
  <c r="AR6" i="2" s="1"/>
  <c r="B5" i="2"/>
  <c r="A5" i="2"/>
  <c r="AR5" i="2" s="1"/>
  <c r="B4" i="2"/>
  <c r="A4" i="2"/>
  <c r="AR4" i="2" s="1"/>
  <c r="B3" i="2"/>
  <c r="A3" i="2"/>
  <c r="AR3" i="2" s="1"/>
  <c r="D9" i="2"/>
  <c r="D11" i="2"/>
  <c r="D33" i="2"/>
  <c r="D34" i="2"/>
  <c r="D36" i="2"/>
  <c r="D10" i="2"/>
  <c r="D17" i="2"/>
  <c r="D20" i="2"/>
  <c r="AN46" i="2"/>
  <c r="AJ46" i="2"/>
  <c r="AH46" i="2"/>
  <c r="AF46" i="2"/>
  <c r="AD46" i="2"/>
  <c r="AB46" i="2"/>
  <c r="Z46" i="2"/>
  <c r="X46" i="2"/>
  <c r="V46" i="2"/>
  <c r="T46" i="2"/>
  <c r="R46" i="2"/>
  <c r="P46" i="2"/>
  <c r="N46" i="2"/>
  <c r="L46" i="2"/>
  <c r="J46" i="2"/>
  <c r="H46" i="2"/>
  <c r="F46" i="2"/>
  <c r="AQ16" i="2" l="1"/>
  <c r="AQ3" i="2"/>
  <c r="AQ29" i="2"/>
  <c r="AQ28" i="2"/>
  <c r="AQ20" i="2"/>
  <c r="AQ8" i="2"/>
  <c r="AQ4" i="2"/>
  <c r="AQ18" i="2"/>
  <c r="AQ17" i="2"/>
  <c r="AQ35" i="2"/>
  <c r="AQ22" i="2"/>
  <c r="AQ9" i="2"/>
  <c r="AQ30" i="2"/>
  <c r="AQ27" i="2"/>
  <c r="AQ15" i="2"/>
  <c r="G46" i="1"/>
  <c r="AQ14" i="2"/>
  <c r="D26" i="2"/>
  <c r="AQ26" i="2" s="1"/>
  <c r="AQ7" i="2"/>
  <c r="AQ25" i="2"/>
  <c r="AQ31" i="2"/>
  <c r="AQ24" i="2"/>
  <c r="AQ12" i="2"/>
  <c r="AQ23" i="2"/>
  <c r="AQ6" i="2"/>
  <c r="AQ34" i="2"/>
  <c r="AQ10" i="2"/>
  <c r="AQ21" i="2"/>
  <c r="AQ33" i="2"/>
  <c r="AQ36" i="2"/>
  <c r="AQ11" i="2"/>
  <c r="AQ32" i="2"/>
  <c r="AQ19" i="2"/>
  <c r="AQ5" i="2"/>
  <c r="AP47" i="2"/>
  <c r="AP48" i="2" s="1"/>
  <c r="D46" i="2" l="1"/>
  <c r="D47" i="2" s="1"/>
</calcChain>
</file>

<file path=xl/sharedStrings.xml><?xml version="1.0" encoding="utf-8"?>
<sst xmlns="http://schemas.openxmlformats.org/spreadsheetml/2006/main" count="1069" uniqueCount="171">
  <si>
    <t>id</t>
  </si>
  <si>
    <t>Nom</t>
  </si>
  <si>
    <t>Ville</t>
  </si>
  <si>
    <t>RNE</t>
  </si>
  <si>
    <t>Codification</t>
  </si>
  <si>
    <t>Candidats</t>
  </si>
  <si>
    <t>Paris</t>
  </si>
  <si>
    <t>INST</t>
  </si>
  <si>
    <t>IMCP Paris</t>
  </si>
  <si>
    <t>IMCP</t>
  </si>
  <si>
    <t>ITIC</t>
  </si>
  <si>
    <t>0754440U</t>
  </si>
  <si>
    <t>CFA CERFAL</t>
  </si>
  <si>
    <t>0754458N</t>
  </si>
  <si>
    <t>CERF</t>
  </si>
  <si>
    <t>0754679D</t>
  </si>
  <si>
    <t>CFA IMC</t>
  </si>
  <si>
    <t>0755197S</t>
  </si>
  <si>
    <t>IMC</t>
  </si>
  <si>
    <t>Lycee Jacques Prevert</t>
  </si>
  <si>
    <t>Combs la Ville</t>
  </si>
  <si>
    <t>0771997C</t>
  </si>
  <si>
    <t>COMBS</t>
  </si>
  <si>
    <t>Saint Germain (78)</t>
  </si>
  <si>
    <t>CGS</t>
  </si>
  <si>
    <t>ITIS</t>
  </si>
  <si>
    <t>Evry</t>
  </si>
  <si>
    <t>0911864G</t>
  </si>
  <si>
    <t>CFA Faculté des métiers</t>
  </si>
  <si>
    <t>Massy</t>
  </si>
  <si>
    <t>FDM</t>
  </si>
  <si>
    <t>AFORP</t>
  </si>
  <si>
    <t>Issy Les Moulineaux</t>
  </si>
  <si>
    <t>0921274K</t>
  </si>
  <si>
    <t>AFOR</t>
  </si>
  <si>
    <t>EPSI</t>
  </si>
  <si>
    <t>Levallois</t>
  </si>
  <si>
    <t>0922467G</t>
  </si>
  <si>
    <t>HITEMA</t>
  </si>
  <si>
    <t>0922614S</t>
  </si>
  <si>
    <t>HITE</t>
  </si>
  <si>
    <t>IEFII</t>
  </si>
  <si>
    <t>IFCP</t>
  </si>
  <si>
    <t>jurys</t>
  </si>
  <si>
    <t>05/06</t>
  </si>
  <si>
    <t>06/06</t>
  </si>
  <si>
    <t>12/06</t>
  </si>
  <si>
    <t>13/06</t>
  </si>
  <si>
    <t>19/06</t>
  </si>
  <si>
    <t>20/06</t>
  </si>
  <si>
    <t>nb</t>
  </si>
  <si>
    <t>j</t>
  </si>
  <si>
    <t>centre</t>
  </si>
  <si>
    <t>jour</t>
  </si>
  <si>
    <t>nbjurys</t>
  </si>
  <si>
    <t>nbcandidats</t>
  </si>
  <si>
    <t>0772223Y</t>
  </si>
  <si>
    <t>CHAM</t>
  </si>
  <si>
    <t>LAN</t>
  </si>
  <si>
    <t>lycee Rene Descartes</t>
  </si>
  <si>
    <t>02/06</t>
  </si>
  <si>
    <t>16/06</t>
  </si>
  <si>
    <t>Champs sur Marne</t>
  </si>
  <si>
    <t>Montigny le Bretonneux</t>
  </si>
  <si>
    <t>IRIS</t>
  </si>
  <si>
    <t>0755748R</t>
  </si>
  <si>
    <t>x</t>
  </si>
  <si>
    <t>15/06</t>
  </si>
  <si>
    <t>22/06</t>
  </si>
  <si>
    <t>14/06</t>
  </si>
  <si>
    <t>21/06</t>
  </si>
  <si>
    <t>Ecole SORNAS</t>
  </si>
  <si>
    <t>0754101A</t>
  </si>
  <si>
    <t>SORN</t>
  </si>
  <si>
    <t>GEFOR</t>
  </si>
  <si>
    <t>GEFO</t>
  </si>
  <si>
    <t>CFA SACEF</t>
  </si>
  <si>
    <t>SACE</t>
  </si>
  <si>
    <t>Lycée Paul Bert</t>
  </si>
  <si>
    <t>Maison Alfort</t>
  </si>
  <si>
    <t>LPB</t>
  </si>
  <si>
    <t>Villejuif</t>
  </si>
  <si>
    <t>Lycee Geoffroy Saint Hilaire</t>
  </si>
  <si>
    <t>0910622G</t>
  </si>
  <si>
    <t>01/06</t>
  </si>
  <si>
    <t>07/06</t>
  </si>
  <si>
    <t>08/06</t>
  </si>
  <si>
    <t>IPSSI</t>
  </si>
  <si>
    <t>0755724P</t>
  </si>
  <si>
    <t>IPSS</t>
  </si>
  <si>
    <t>SCHOLA NOVA</t>
  </si>
  <si>
    <t>SCHN</t>
  </si>
  <si>
    <t>CEVE</t>
  </si>
  <si>
    <t>EFREI</t>
  </si>
  <si>
    <t>0941934S</t>
  </si>
  <si>
    <t>EFRE</t>
  </si>
  <si>
    <t>Vincennes</t>
  </si>
  <si>
    <t>0753372H</t>
  </si>
  <si>
    <t>Lycee BETH SEFER</t>
  </si>
  <si>
    <t>SEFE</t>
  </si>
  <si>
    <t>0755432X</t>
  </si>
  <si>
    <t>CFA INSTA</t>
  </si>
  <si>
    <t>CINST</t>
  </si>
  <si>
    <t>0755934T</t>
  </si>
  <si>
    <t>INGETIS Paris</t>
  </si>
  <si>
    <t>INGT</t>
  </si>
  <si>
    <t>Cours Privé Diderot Paris 11</t>
  </si>
  <si>
    <t>0755559K</t>
  </si>
  <si>
    <t>DID</t>
  </si>
  <si>
    <t>0781858W</t>
  </si>
  <si>
    <t>CFA EVE</t>
  </si>
  <si>
    <t>0912119J</t>
  </si>
  <si>
    <t>09/06</t>
  </si>
  <si>
    <t>0755775V</t>
  </si>
  <si>
    <t>APEP SUP</t>
  </si>
  <si>
    <t>APEP</t>
  </si>
  <si>
    <t>H3C Campus Poissy</t>
  </si>
  <si>
    <t>H3C</t>
  </si>
  <si>
    <t>Nbre Jurys/jour</t>
  </si>
  <si>
    <t>Lycée Fénelon Sup La Pleine Monceau</t>
  </si>
  <si>
    <t>0754037F</t>
  </si>
  <si>
    <t>LFS</t>
  </si>
  <si>
    <t>0755119G</t>
  </si>
  <si>
    <t>0756002S</t>
  </si>
  <si>
    <t>0756241B</t>
  </si>
  <si>
    <t>ENSUP CGSAT</t>
  </si>
  <si>
    <t>0783545E</t>
  </si>
  <si>
    <t>Ecole Santé et Juridique</t>
  </si>
  <si>
    <t>0922856E</t>
  </si>
  <si>
    <t>ESJ</t>
  </si>
  <si>
    <t>IMIE Paris</t>
  </si>
  <si>
    <t>0922863M</t>
  </si>
  <si>
    <t>IMIP</t>
  </si>
  <si>
    <t>0941355M</t>
  </si>
  <si>
    <t>0942169X</t>
  </si>
  <si>
    <t>0952242W</t>
  </si>
  <si>
    <t>0755931P</t>
  </si>
  <si>
    <t>CCF</t>
  </si>
  <si>
    <t>CCF 2016</t>
  </si>
  <si>
    <t>ISCIO Orsay</t>
  </si>
  <si>
    <t>0919303T</t>
  </si>
  <si>
    <t>ISCIO</t>
  </si>
  <si>
    <t>0755294X</t>
  </si>
  <si>
    <t>INSTA</t>
  </si>
  <si>
    <t>0755577E</t>
  </si>
  <si>
    <t>ISMI</t>
  </si>
  <si>
    <t>0755827B</t>
  </si>
  <si>
    <t>ADG</t>
  </si>
  <si>
    <t>INSTA Paris</t>
  </si>
  <si>
    <t>0756351W</t>
  </si>
  <si>
    <t>CFA ISW EDUCATION</t>
  </si>
  <si>
    <t>ISW</t>
  </si>
  <si>
    <t>Etampes</t>
  </si>
  <si>
    <t>0912263R</t>
  </si>
  <si>
    <t>0932760V</t>
  </si>
  <si>
    <t>CFA AFORP FORMATION</t>
  </si>
  <si>
    <t>AFF</t>
  </si>
  <si>
    <t>St Ouen L'aumone</t>
  </si>
  <si>
    <t>0756015F</t>
  </si>
  <si>
    <t>EUROFORMA</t>
  </si>
  <si>
    <t>EURO</t>
  </si>
  <si>
    <t>077203SB</t>
  </si>
  <si>
    <t>Educatel 77</t>
  </si>
  <si>
    <t>ED77</t>
  </si>
  <si>
    <t>0772893B</t>
  </si>
  <si>
    <t>EMSCA</t>
  </si>
  <si>
    <t>Bussy St Georges</t>
  </si>
  <si>
    <t>EMSC</t>
  </si>
  <si>
    <t>0922873Y</t>
  </si>
  <si>
    <t>Elyon Company</t>
  </si>
  <si>
    <t>ELYC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</si>
</sst>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[Red]\-0\ "/>
  </numFmts>
  <fonts count="12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61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none">
        <fgColor rgb="FF000000"/>
        <bgColor rgb="FFFFFFFF"/>
      </patternFill>
    </fill>
    <fill>
      <patternFill patternType="none">
        <fgColor rgb="FF000000"/>
        <b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CC0DA"/>
        <bgColor rgb="FF000000"/>
      </patternFill>
    </fill>
    <fill>
      <patternFill patternType="solid">
        <fgColor theme="0" tint="-0.249977111117893"/>
        <bgColor rgb="FFC0C0C0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7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52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7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2" fillId="2" borderId="2" xfId="0" applyFont="1" applyFill="1" applyBorder="1" applyAlignment="1">
      <alignment horizontal="right" vertical="center"/>
    </xf>
    <xf numFmtId="0" fontId="0" fillId="0" borderId="0" xfId="0" quotePrefix="1"/>
    <xf numFmtId="0" fontId="0" fillId="5" borderId="1" xfId="0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6" borderId="1" xfId="0" applyFill="1" applyBorder="1" applyAlignment="1">
      <alignment horizontal="center"/>
    </xf>
    <xf numFmtId="164" fontId="0" fillId="0" borderId="0" xfId="0" applyNumberFormat="1"/>
    <xf numFmtId="16" fontId="0" fillId="0" borderId="0" xfId="0" quotePrefix="1" applyNumberFormat="1"/>
    <xf numFmtId="0" fontId="0" fillId="8" borderId="1" xfId="0" applyFill="1" applyBorder="1"/>
    <xf numFmtId="0" fontId="7" fillId="8" borderId="1" xfId="11" applyFont="1" applyFill="1" applyBorder="1"/>
    <xf numFmtId="0" fontId="2" fillId="3" borderId="6" xfId="0" applyFont="1" applyFill="1" applyBorder="1" applyAlignment="1">
      <alignment vertical="center"/>
    </xf>
    <xf numFmtId="0" fontId="10" fillId="3" borderId="1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9" fillId="8" borderId="1" xfId="0" applyFont="1" applyFill="1" applyBorder="1"/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9" borderId="8" xfId="0" applyFont="1" applyFill="1" applyBorder="1" applyAlignment="1">
      <alignment horizontal="center"/>
    </xf>
    <xf numFmtId="0" fontId="8" fillId="0" borderId="0" xfId="0" applyFont="1"/>
    <xf numFmtId="0" fontId="1" fillId="10" borderId="1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0" fillId="4" borderId="0" xfId="0" applyFill="1"/>
    <xf numFmtId="0" fontId="0" fillId="5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11" fillId="11" borderId="5" xfId="0" applyFont="1" applyFill="1" applyBorder="1" applyAlignment="1">
      <alignment horizontal="center"/>
    </xf>
    <xf numFmtId="0" fontId="8" fillId="12" borderId="1" xfId="0" applyFont="1" applyFill="1" applyBorder="1" applyAlignment="1">
      <alignment horizontal="center"/>
    </xf>
    <xf numFmtId="0" fontId="11" fillId="11" borderId="8" xfId="0" applyFont="1" applyFill="1" applyBorder="1" applyAlignment="1">
      <alignment horizontal="center"/>
    </xf>
    <xf numFmtId="0" fontId="0" fillId="4" borderId="9" xfId="0" quotePrefix="1" applyFill="1" applyBorder="1" applyAlignment="1">
      <alignment horizontal="center"/>
    </xf>
    <xf numFmtId="0" fontId="0" fillId="4" borderId="8" xfId="0" quotePrefix="1" applyFill="1" applyBorder="1" applyAlignment="1">
      <alignment horizontal="center"/>
    </xf>
    <xf numFmtId="16" fontId="0" fillId="4" borderId="4" xfId="0" quotePrefix="1" applyNumberFormat="1" applyFill="1" applyBorder="1" applyAlignment="1">
      <alignment horizontal="center"/>
    </xf>
    <xf numFmtId="0" fontId="0" fillId="4" borderId="5" xfId="0" quotePrefix="1" applyFill="1" applyBorder="1" applyAlignment="1">
      <alignment horizontal="center"/>
    </xf>
    <xf numFmtId="0" fontId="0" fillId="4" borderId="4" xfId="0" quotePrefix="1" applyFill="1" applyBorder="1" applyAlignment="1">
      <alignment horizontal="center"/>
    </xf>
    <xf numFmtId="0" fontId="0" fillId="4" borderId="7" xfId="0" quotePrefix="1" applyFill="1" applyBorder="1" applyAlignment="1">
      <alignment horizontal="center"/>
    </xf>
  </cellXfs>
  <cellStyles count="152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2" builtinId="8" hidden="1"/>
    <cellStyle name="Lien hypertexte" xfId="14" builtinId="8" hidden="1"/>
    <cellStyle name="Lien hypertexte" xfId="16" builtinId="8" hidden="1"/>
    <cellStyle name="Lien hypertexte" xfId="18" builtinId="8" hidden="1"/>
    <cellStyle name="Lien hypertexte" xfId="20" builtinId="8" hidden="1"/>
    <cellStyle name="Lien hypertexte" xfId="22" builtinId="8" hidden="1"/>
    <cellStyle name="Lien hypertexte" xfId="24" builtinId="8" hidden="1"/>
    <cellStyle name="Lien hypertexte" xfId="26" builtinId="8" hidden="1"/>
    <cellStyle name="Lien hypertexte" xfId="28" builtinId="8" hidden="1"/>
    <cellStyle name="Lien hypertexte" xfId="30" builtinId="8" hidden="1"/>
    <cellStyle name="Lien hypertexte" xfId="32" builtinId="8" hidden="1"/>
    <cellStyle name="Lien hypertexte" xfId="34" builtinId="8" hidden="1"/>
    <cellStyle name="Lien hypertexte" xfId="36" builtinId="8" hidden="1"/>
    <cellStyle name="Lien hypertexte" xfId="38" builtinId="8" hidden="1"/>
    <cellStyle name="Lien hypertexte" xfId="40" builtinId="8" hidden="1"/>
    <cellStyle name="Lien hypertexte" xfId="42" builtinId="8" hidden="1"/>
    <cellStyle name="Lien hypertexte" xfId="44" builtinId="8" hidden="1"/>
    <cellStyle name="Lien hypertexte" xfId="46" builtinId="8" hidden="1"/>
    <cellStyle name="Lien hypertexte" xfId="48" builtinId="8" hidden="1"/>
    <cellStyle name="Lien hypertexte" xfId="50" builtinId="8" hidden="1"/>
    <cellStyle name="Lien hypertexte" xfId="52" builtinId="8" hidden="1"/>
    <cellStyle name="Lien hypertexte" xfId="54" builtinId="8" hidden="1"/>
    <cellStyle name="Lien hypertexte" xfId="56" builtinId="8" hidden="1"/>
    <cellStyle name="Lien hypertexte" xfId="58" builtinId="8" hidden="1"/>
    <cellStyle name="Lien hypertexte" xfId="60" builtinId="8" hidden="1"/>
    <cellStyle name="Lien hypertexte" xfId="62" builtinId="8" hidden="1"/>
    <cellStyle name="Lien hypertexte" xfId="64" builtinId="8" hidden="1"/>
    <cellStyle name="Lien hypertexte" xfId="66" builtinId="8" hidden="1"/>
    <cellStyle name="Lien hypertexte" xfId="68" builtinId="8" hidden="1"/>
    <cellStyle name="Lien hypertexte" xfId="70" builtinId="8" hidden="1"/>
    <cellStyle name="Lien hypertexte" xfId="72" builtinId="8" hidden="1"/>
    <cellStyle name="Lien hypertexte" xfId="74" builtinId="8" hidden="1"/>
    <cellStyle name="Lien hypertexte" xfId="76" builtinId="8" hidden="1"/>
    <cellStyle name="Lien hypertexte" xfId="78" builtinId="8" hidden="1"/>
    <cellStyle name="Lien hypertexte" xfId="80" builtinId="8" hidden="1"/>
    <cellStyle name="Lien hypertexte" xfId="82" builtinId="8" hidden="1"/>
    <cellStyle name="Lien hypertexte" xfId="84" builtinId="8" hidden="1"/>
    <cellStyle name="Lien hypertexte" xfId="86" builtinId="8" hidden="1"/>
    <cellStyle name="Lien hypertexte" xfId="88" builtinId="8" hidden="1"/>
    <cellStyle name="Lien hypertexte" xfId="90" builtinId="8" hidden="1"/>
    <cellStyle name="Lien hypertexte" xfId="92" builtinId="8" hidden="1"/>
    <cellStyle name="Lien hypertexte" xfId="94" builtinId="8" hidden="1"/>
    <cellStyle name="Lien hypertexte" xfId="96" builtinId="8" hidden="1"/>
    <cellStyle name="Lien hypertexte" xfId="98" builtinId="8" hidden="1"/>
    <cellStyle name="Lien hypertexte" xfId="100" builtinId="8" hidden="1"/>
    <cellStyle name="Lien hypertexte" xfId="102" builtinId="8" hidden="1"/>
    <cellStyle name="Lien hypertexte" xfId="104" builtinId="8" hidden="1"/>
    <cellStyle name="Lien hypertexte" xfId="106" builtinId="8" hidden="1"/>
    <cellStyle name="Lien hypertexte" xfId="108" builtinId="8" hidden="1"/>
    <cellStyle name="Lien hypertexte" xfId="110" builtinId="8" hidden="1"/>
    <cellStyle name="Lien hypertexte" xfId="112" builtinId="8" hidden="1"/>
    <cellStyle name="Lien hypertexte" xfId="114" builtinId="8" hidden="1"/>
    <cellStyle name="Lien hypertexte" xfId="116" builtinId="8" hidden="1"/>
    <cellStyle name="Lien hypertexte" xfId="118" builtinId="8" hidden="1"/>
    <cellStyle name="Lien hypertexte" xfId="120" builtinId="8" hidden="1"/>
    <cellStyle name="Lien hypertexte" xfId="122" builtinId="8" hidden="1"/>
    <cellStyle name="Lien hypertexte" xfId="124" builtinId="8" hidden="1"/>
    <cellStyle name="Lien hypertexte" xfId="126" builtinId="8" hidden="1"/>
    <cellStyle name="Lien hypertexte" xfId="128" builtinId="8" hidden="1"/>
    <cellStyle name="Lien hypertexte" xfId="130" builtinId="8" hidden="1"/>
    <cellStyle name="Lien hypertexte" xfId="132" builtinId="8" hidden="1"/>
    <cellStyle name="Lien hypertexte" xfId="134" builtinId="8" hidden="1"/>
    <cellStyle name="Lien hypertexte" xfId="136" builtinId="8" hidden="1"/>
    <cellStyle name="Lien hypertexte" xfId="138" builtinId="8" hidden="1"/>
    <cellStyle name="Lien hypertexte" xfId="140" builtinId="8" hidden="1"/>
    <cellStyle name="Lien hypertexte" xfId="142" builtinId="8" hidden="1"/>
    <cellStyle name="Lien hypertexte" xfId="144" builtinId="8" hidden="1"/>
    <cellStyle name="Lien hypertexte" xfId="146" builtinId="8" hidden="1"/>
    <cellStyle name="Lien hypertexte" xfId="148" builtinId="8" hidden="1"/>
    <cellStyle name="Lien hypertexte" xfId="150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3" builtinId="9" hidden="1"/>
    <cellStyle name="Lien hypertexte visité" xfId="15" builtinId="9" hidden="1"/>
    <cellStyle name="Lien hypertexte visité" xfId="17" builtinId="9" hidden="1"/>
    <cellStyle name="Lien hypertexte visité" xfId="19" builtinId="9" hidden="1"/>
    <cellStyle name="Lien hypertexte visité" xfId="21" builtinId="9" hidden="1"/>
    <cellStyle name="Lien hypertexte visité" xfId="23" builtinId="9" hidden="1"/>
    <cellStyle name="Lien hypertexte visité" xfId="25" builtinId="9" hidden="1"/>
    <cellStyle name="Lien hypertexte visité" xfId="27" builtinId="9" hidden="1"/>
    <cellStyle name="Lien hypertexte visité" xfId="29" builtinId="9" hidden="1"/>
    <cellStyle name="Lien hypertexte visité" xfId="31" builtinId="9" hidden="1"/>
    <cellStyle name="Lien hypertexte visité" xfId="33" builtinId="9" hidden="1"/>
    <cellStyle name="Lien hypertexte visité" xfId="35" builtinId="9" hidden="1"/>
    <cellStyle name="Lien hypertexte visité" xfId="37" builtinId="9" hidden="1"/>
    <cellStyle name="Lien hypertexte visité" xfId="39" builtinId="9" hidden="1"/>
    <cellStyle name="Lien hypertexte visité" xfId="41" builtinId="9" hidden="1"/>
    <cellStyle name="Lien hypertexte visité" xfId="43" builtinId="9" hidden="1"/>
    <cellStyle name="Lien hypertexte visité" xfId="45" builtinId="9" hidden="1"/>
    <cellStyle name="Lien hypertexte visité" xfId="47" builtinId="9" hidden="1"/>
    <cellStyle name="Lien hypertexte visité" xfId="49" builtinId="9" hidden="1"/>
    <cellStyle name="Lien hypertexte visité" xfId="51" builtinId="9" hidden="1"/>
    <cellStyle name="Lien hypertexte visité" xfId="53" builtinId="9" hidden="1"/>
    <cellStyle name="Lien hypertexte visité" xfId="55" builtinId="9" hidden="1"/>
    <cellStyle name="Lien hypertexte visité" xfId="57" builtinId="9" hidden="1"/>
    <cellStyle name="Lien hypertexte visité" xfId="59" builtinId="9" hidden="1"/>
    <cellStyle name="Lien hypertexte visité" xfId="61" builtinId="9" hidden="1"/>
    <cellStyle name="Lien hypertexte visité" xfId="63" builtinId="9" hidden="1"/>
    <cellStyle name="Lien hypertexte visité" xfId="65" builtinId="9" hidden="1"/>
    <cellStyle name="Lien hypertexte visité" xfId="67" builtinId="9" hidden="1"/>
    <cellStyle name="Lien hypertexte visité" xfId="69" builtinId="9" hidden="1"/>
    <cellStyle name="Lien hypertexte visité" xfId="71" builtinId="9" hidden="1"/>
    <cellStyle name="Lien hypertexte visité" xfId="73" builtinId="9" hidden="1"/>
    <cellStyle name="Lien hypertexte visité" xfId="75" builtinId="9" hidden="1"/>
    <cellStyle name="Lien hypertexte visité" xfId="77" builtinId="9" hidden="1"/>
    <cellStyle name="Lien hypertexte visité" xfId="79" builtinId="9" hidden="1"/>
    <cellStyle name="Lien hypertexte visité" xfId="81" builtinId="9" hidden="1"/>
    <cellStyle name="Lien hypertexte visité" xfId="83" builtinId="9" hidden="1"/>
    <cellStyle name="Lien hypertexte visité" xfId="85" builtinId="9" hidden="1"/>
    <cellStyle name="Lien hypertexte visité" xfId="87" builtinId="9" hidden="1"/>
    <cellStyle name="Lien hypertexte visité" xfId="89" builtinId="9" hidden="1"/>
    <cellStyle name="Lien hypertexte visité" xfId="91" builtinId="9" hidden="1"/>
    <cellStyle name="Lien hypertexte visité" xfId="93" builtinId="9" hidden="1"/>
    <cellStyle name="Lien hypertexte visité" xfId="95" builtinId="9" hidden="1"/>
    <cellStyle name="Lien hypertexte visité" xfId="97" builtinId="9" hidden="1"/>
    <cellStyle name="Lien hypertexte visité" xfId="99" builtinId="9" hidden="1"/>
    <cellStyle name="Lien hypertexte visité" xfId="101" builtinId="9" hidden="1"/>
    <cellStyle name="Lien hypertexte visité" xfId="103" builtinId="9" hidden="1"/>
    <cellStyle name="Lien hypertexte visité" xfId="105" builtinId="9" hidden="1"/>
    <cellStyle name="Lien hypertexte visité" xfId="107" builtinId="9" hidden="1"/>
    <cellStyle name="Lien hypertexte visité" xfId="109" builtinId="9" hidden="1"/>
    <cellStyle name="Lien hypertexte visité" xfId="111" builtinId="9" hidden="1"/>
    <cellStyle name="Lien hypertexte visité" xfId="113" builtinId="9" hidden="1"/>
    <cellStyle name="Lien hypertexte visité" xfId="115" builtinId="9" hidden="1"/>
    <cellStyle name="Lien hypertexte visité" xfId="117" builtinId="9" hidden="1"/>
    <cellStyle name="Lien hypertexte visité" xfId="119" builtinId="9" hidden="1"/>
    <cellStyle name="Lien hypertexte visité" xfId="121" builtinId="9" hidden="1"/>
    <cellStyle name="Lien hypertexte visité" xfId="123" builtinId="9" hidden="1"/>
    <cellStyle name="Lien hypertexte visité" xfId="125" builtinId="9" hidden="1"/>
    <cellStyle name="Lien hypertexte visité" xfId="127" builtinId="9" hidden="1"/>
    <cellStyle name="Lien hypertexte visité" xfId="129" builtinId="9" hidden="1"/>
    <cellStyle name="Lien hypertexte visité" xfId="131" builtinId="9" hidden="1"/>
    <cellStyle name="Lien hypertexte visité" xfId="133" builtinId="9" hidden="1"/>
    <cellStyle name="Lien hypertexte visité" xfId="135" builtinId="9" hidden="1"/>
    <cellStyle name="Lien hypertexte visité" xfId="137" builtinId="9" hidden="1"/>
    <cellStyle name="Lien hypertexte visité" xfId="139" builtinId="9" hidden="1"/>
    <cellStyle name="Lien hypertexte visité" xfId="141" builtinId="9" hidden="1"/>
    <cellStyle name="Lien hypertexte visité" xfId="143" builtinId="9" hidden="1"/>
    <cellStyle name="Lien hypertexte visité" xfId="145" builtinId="9" hidden="1"/>
    <cellStyle name="Lien hypertexte visité" xfId="147" builtinId="9" hidden="1"/>
    <cellStyle name="Lien hypertexte visité" xfId="149" builtinId="9" hidden="1"/>
    <cellStyle name="Lien hypertexte visité" xfId="151" builtinId="9" hidden="1"/>
    <cellStyle name="Normal" xfId="0" builtinId="0"/>
    <cellStyle name="Satisfaisant" xfId="11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2:I62"/>
  <sheetViews>
    <sheetView tabSelected="1" topLeftCell="A3" workbookViewId="0">
      <selection activeCell="F1" sqref="F1:F1048576"/>
    </sheetView>
  </sheetViews>
  <sheetFormatPr baseColWidth="10" defaultColWidth="9.1640625" defaultRowHeight="15" x14ac:dyDescent="0.2"/>
  <cols>
    <col min="1" max="1" width="5.83203125" customWidth="1"/>
    <col min="2" max="2" width="20.6640625" customWidth="1"/>
    <col min="3" max="3" width="20" customWidth="1"/>
    <col min="4" max="4" width="13.83203125" customWidth="1"/>
    <col min="5" max="6" width="8.33203125" customWidth="1"/>
    <col min="7" max="7" width="7" customWidth="1"/>
  </cols>
  <sheetData>
    <row r="2" spans="1:9" x14ac:dyDescent="0.2">
      <c r="A2" s="20" t="s">
        <v>0</v>
      </c>
      <c r="B2" s="20" t="s">
        <v>1</v>
      </c>
      <c r="C2" s="20" t="s">
        <v>2</v>
      </c>
      <c r="D2" s="20" t="s">
        <v>3</v>
      </c>
      <c r="E2" s="20" t="s">
        <v>4</v>
      </c>
      <c r="F2" s="20" t="s">
        <v>5</v>
      </c>
      <c r="G2" s="21" t="s">
        <v>43</v>
      </c>
    </row>
    <row r="3" spans="1:9" x14ac:dyDescent="0.2">
      <c r="A3">
        <v>15</v>
      </c>
      <c r="B3" t="s">
        <v>98</v>
      </c>
      <c r="C3" t="s">
        <v>6</v>
      </c>
      <c r="D3" t="s">
        <v>97</v>
      </c>
      <c r="E3" t="s">
        <v>99</v>
      </c>
      <c r="F3">
        <v>7</v>
      </c>
      <c r="G3">
        <f>CEILING(F3/5,1)</f>
        <v>2</v>
      </c>
      <c r="I3">
        <f>F3</f>
        <v>7</v>
      </c>
    </row>
    <row r="4" spans="1:9" x14ac:dyDescent="0.2">
      <c r="A4">
        <v>135</v>
      </c>
      <c r="B4" t="s">
        <v>119</v>
      </c>
      <c r="C4" t="s">
        <v>6</v>
      </c>
      <c r="D4" t="s">
        <v>120</v>
      </c>
      <c r="E4" t="s">
        <v>121</v>
      </c>
      <c r="F4">
        <v>9</v>
      </c>
      <c r="G4">
        <f t="shared" ref="G4:G45" si="0">CEILING(F4/5,1)</f>
        <v>2</v>
      </c>
      <c r="H4" s="11"/>
      <c r="I4">
        <f t="shared" ref="I4:I15" si="1">F4</f>
        <v>9</v>
      </c>
    </row>
    <row r="5" spans="1:9" x14ac:dyDescent="0.2">
      <c r="A5">
        <v>107</v>
      </c>
      <c r="B5" t="s">
        <v>71</v>
      </c>
      <c r="C5" t="s">
        <v>6</v>
      </c>
      <c r="D5" t="s">
        <v>72</v>
      </c>
      <c r="E5" t="s">
        <v>73</v>
      </c>
      <c r="F5">
        <v>11</v>
      </c>
      <c r="G5">
        <f t="shared" si="0"/>
        <v>3</v>
      </c>
      <c r="I5">
        <f t="shared" si="1"/>
        <v>11</v>
      </c>
    </row>
    <row r="6" spans="1:9" x14ac:dyDescent="0.2">
      <c r="A6">
        <v>22</v>
      </c>
      <c r="B6" t="s">
        <v>10</v>
      </c>
      <c r="C6" t="s">
        <v>6</v>
      </c>
      <c r="D6" t="s">
        <v>11</v>
      </c>
      <c r="E6" t="s">
        <v>10</v>
      </c>
      <c r="F6">
        <v>31</v>
      </c>
      <c r="G6">
        <f t="shared" si="0"/>
        <v>7</v>
      </c>
      <c r="I6">
        <f t="shared" si="1"/>
        <v>31</v>
      </c>
    </row>
    <row r="7" spans="1:9" x14ac:dyDescent="0.2">
      <c r="A7">
        <v>23</v>
      </c>
      <c r="B7" t="s">
        <v>12</v>
      </c>
      <c r="C7" t="s">
        <v>6</v>
      </c>
      <c r="D7" t="s">
        <v>13</v>
      </c>
      <c r="E7" t="s">
        <v>14</v>
      </c>
      <c r="F7">
        <v>28</v>
      </c>
      <c r="G7">
        <f t="shared" si="0"/>
        <v>6</v>
      </c>
      <c r="I7">
        <f t="shared" si="1"/>
        <v>28</v>
      </c>
    </row>
    <row r="8" spans="1:9" x14ac:dyDescent="0.2">
      <c r="A8">
        <v>25</v>
      </c>
      <c r="B8" t="s">
        <v>76</v>
      </c>
      <c r="C8" t="s">
        <v>6</v>
      </c>
      <c r="D8" t="s">
        <v>15</v>
      </c>
      <c r="E8" t="s">
        <v>77</v>
      </c>
      <c r="F8">
        <v>8</v>
      </c>
      <c r="G8">
        <f t="shared" si="0"/>
        <v>2</v>
      </c>
      <c r="I8">
        <f t="shared" si="1"/>
        <v>8</v>
      </c>
    </row>
    <row r="9" spans="1:9" x14ac:dyDescent="0.2">
      <c r="A9">
        <v>86</v>
      </c>
      <c r="B9" t="s">
        <v>74</v>
      </c>
      <c r="C9" t="s">
        <v>6</v>
      </c>
      <c r="D9" t="s">
        <v>122</v>
      </c>
      <c r="E9" t="s">
        <v>75</v>
      </c>
      <c r="F9">
        <v>24</v>
      </c>
      <c r="G9">
        <f t="shared" si="0"/>
        <v>5</v>
      </c>
      <c r="H9" s="11"/>
      <c r="I9">
        <f t="shared" si="1"/>
        <v>24</v>
      </c>
    </row>
    <row r="10" spans="1:9" x14ac:dyDescent="0.2">
      <c r="A10">
        <v>26</v>
      </c>
      <c r="B10" t="s">
        <v>16</v>
      </c>
      <c r="C10" t="s">
        <v>6</v>
      </c>
      <c r="D10" t="s">
        <v>17</v>
      </c>
      <c r="E10" t="s">
        <v>18</v>
      </c>
      <c r="F10">
        <v>20</v>
      </c>
      <c r="G10">
        <f t="shared" si="0"/>
        <v>4</v>
      </c>
      <c r="H10" s="11"/>
      <c r="I10">
        <f t="shared" si="1"/>
        <v>20</v>
      </c>
    </row>
    <row r="11" spans="1:9" x14ac:dyDescent="0.2">
      <c r="A11">
        <v>139</v>
      </c>
      <c r="B11" t="s">
        <v>143</v>
      </c>
      <c r="C11" t="s">
        <v>6</v>
      </c>
      <c r="D11" t="s">
        <v>142</v>
      </c>
      <c r="E11" t="s">
        <v>143</v>
      </c>
      <c r="F11">
        <v>9</v>
      </c>
      <c r="G11">
        <f t="shared" si="0"/>
        <v>2</v>
      </c>
      <c r="I11">
        <f t="shared" si="1"/>
        <v>9</v>
      </c>
    </row>
    <row r="12" spans="1:9" x14ac:dyDescent="0.2">
      <c r="A12">
        <v>75</v>
      </c>
      <c r="B12" t="s">
        <v>101</v>
      </c>
      <c r="C12" t="s">
        <v>6</v>
      </c>
      <c r="D12" t="s">
        <v>100</v>
      </c>
      <c r="E12" t="s">
        <v>102</v>
      </c>
      <c r="F12">
        <v>57</v>
      </c>
      <c r="G12">
        <f t="shared" si="0"/>
        <v>12</v>
      </c>
      <c r="I12">
        <f t="shared" si="1"/>
        <v>57</v>
      </c>
    </row>
    <row r="13" spans="1:9" x14ac:dyDescent="0.2">
      <c r="A13">
        <v>125</v>
      </c>
      <c r="B13" t="s">
        <v>106</v>
      </c>
      <c r="C13" t="s">
        <v>6</v>
      </c>
      <c r="D13" t="s">
        <v>107</v>
      </c>
      <c r="E13" t="s">
        <v>108</v>
      </c>
      <c r="F13">
        <v>4</v>
      </c>
      <c r="G13">
        <f t="shared" si="0"/>
        <v>1</v>
      </c>
      <c r="I13">
        <f t="shared" si="1"/>
        <v>4</v>
      </c>
    </row>
    <row r="14" spans="1:9" x14ac:dyDescent="0.2">
      <c r="A14">
        <v>102</v>
      </c>
      <c r="B14" t="s">
        <v>145</v>
      </c>
      <c r="C14" t="s">
        <v>6</v>
      </c>
      <c r="D14" t="s">
        <v>144</v>
      </c>
      <c r="E14" t="s">
        <v>145</v>
      </c>
      <c r="F14">
        <v>2</v>
      </c>
      <c r="G14">
        <f t="shared" si="0"/>
        <v>1</v>
      </c>
      <c r="I14">
        <f t="shared" si="1"/>
        <v>2</v>
      </c>
    </row>
    <row r="15" spans="1:9" x14ac:dyDescent="0.2">
      <c r="A15">
        <v>108</v>
      </c>
      <c r="B15" t="s">
        <v>87</v>
      </c>
      <c r="C15" t="s">
        <v>6</v>
      </c>
      <c r="D15" t="s">
        <v>88</v>
      </c>
      <c r="E15" t="s">
        <v>89</v>
      </c>
      <c r="F15">
        <v>80</v>
      </c>
      <c r="G15">
        <f t="shared" si="0"/>
        <v>16</v>
      </c>
      <c r="I15">
        <f t="shared" si="1"/>
        <v>80</v>
      </c>
    </row>
    <row r="16" spans="1:9" x14ac:dyDescent="0.2">
      <c r="A16">
        <v>103</v>
      </c>
      <c r="B16" t="s">
        <v>64</v>
      </c>
      <c r="C16" t="s">
        <v>6</v>
      </c>
      <c r="D16" t="s">
        <v>65</v>
      </c>
      <c r="E16" t="s">
        <v>64</v>
      </c>
      <c r="F16">
        <v>177</v>
      </c>
      <c r="G16">
        <f t="shared" si="0"/>
        <v>36</v>
      </c>
      <c r="I16">
        <f>F16</f>
        <v>177</v>
      </c>
    </row>
    <row r="17" spans="1:9" x14ac:dyDescent="0.2">
      <c r="A17">
        <v>131</v>
      </c>
      <c r="B17" t="s">
        <v>114</v>
      </c>
      <c r="C17" t="s">
        <v>6</v>
      </c>
      <c r="D17" t="s">
        <v>113</v>
      </c>
      <c r="E17" t="s">
        <v>115</v>
      </c>
      <c r="F17">
        <v>30</v>
      </c>
      <c r="G17">
        <f t="shared" si="0"/>
        <v>6</v>
      </c>
      <c r="H17" s="11"/>
      <c r="I17">
        <f t="shared" ref="I17:I45" si="2">F17</f>
        <v>30</v>
      </c>
    </row>
    <row r="18" spans="1:9" x14ac:dyDescent="0.2">
      <c r="A18">
        <v>140</v>
      </c>
      <c r="B18" t="s">
        <v>147</v>
      </c>
      <c r="C18" t="s">
        <v>6</v>
      </c>
      <c r="D18" t="s">
        <v>146</v>
      </c>
      <c r="E18" t="s">
        <v>147</v>
      </c>
      <c r="F18">
        <v>13</v>
      </c>
      <c r="G18">
        <f t="shared" si="0"/>
        <v>3</v>
      </c>
      <c r="H18" s="11"/>
      <c r="I18">
        <f t="shared" si="2"/>
        <v>13</v>
      </c>
    </row>
    <row r="19" spans="1:9" x14ac:dyDescent="0.2">
      <c r="A19">
        <v>74</v>
      </c>
      <c r="B19" t="s">
        <v>148</v>
      </c>
      <c r="C19" t="s">
        <v>6</v>
      </c>
      <c r="D19" t="s">
        <v>136</v>
      </c>
      <c r="E19" t="s">
        <v>7</v>
      </c>
      <c r="F19">
        <v>44</v>
      </c>
      <c r="G19">
        <f t="shared" si="0"/>
        <v>9</v>
      </c>
      <c r="H19" s="11"/>
      <c r="I19">
        <f t="shared" si="2"/>
        <v>44</v>
      </c>
    </row>
    <row r="20" spans="1:9" x14ac:dyDescent="0.2">
      <c r="A20">
        <v>115</v>
      </c>
      <c r="B20" t="s">
        <v>104</v>
      </c>
      <c r="C20" t="s">
        <v>6</v>
      </c>
      <c r="D20" t="s">
        <v>103</v>
      </c>
      <c r="E20" t="s">
        <v>105</v>
      </c>
      <c r="F20">
        <v>41</v>
      </c>
      <c r="G20">
        <f t="shared" si="0"/>
        <v>9</v>
      </c>
      <c r="I20">
        <f t="shared" si="2"/>
        <v>41</v>
      </c>
    </row>
    <row r="21" spans="1:9" x14ac:dyDescent="0.2">
      <c r="A21">
        <v>113</v>
      </c>
      <c r="B21" t="s">
        <v>90</v>
      </c>
      <c r="C21" t="s">
        <v>6</v>
      </c>
      <c r="D21" t="s">
        <v>123</v>
      </c>
      <c r="E21" t="s">
        <v>91</v>
      </c>
      <c r="F21">
        <v>19</v>
      </c>
      <c r="G21">
        <f t="shared" si="0"/>
        <v>4</v>
      </c>
      <c r="I21">
        <f t="shared" si="2"/>
        <v>19</v>
      </c>
    </row>
    <row r="22" spans="1:9" x14ac:dyDescent="0.2">
      <c r="A22">
        <v>144</v>
      </c>
      <c r="B22" t="s">
        <v>159</v>
      </c>
      <c r="C22" t="s">
        <v>6</v>
      </c>
      <c r="D22" t="s">
        <v>158</v>
      </c>
      <c r="E22" t="s">
        <v>160</v>
      </c>
      <c r="F22">
        <v>3</v>
      </c>
      <c r="G22">
        <f t="shared" si="0"/>
        <v>1</v>
      </c>
      <c r="I22">
        <f t="shared" si="2"/>
        <v>3</v>
      </c>
    </row>
    <row r="23" spans="1:9" x14ac:dyDescent="0.2">
      <c r="A23">
        <v>16</v>
      </c>
      <c r="B23" t="s">
        <v>8</v>
      </c>
      <c r="C23" t="s">
        <v>6</v>
      </c>
      <c r="D23" t="s">
        <v>124</v>
      </c>
      <c r="E23" t="s">
        <v>9</v>
      </c>
      <c r="F23">
        <v>12</v>
      </c>
      <c r="G23">
        <f t="shared" si="0"/>
        <v>3</v>
      </c>
      <c r="I23">
        <f t="shared" si="2"/>
        <v>12</v>
      </c>
    </row>
    <row r="24" spans="1:9" x14ac:dyDescent="0.2">
      <c r="A24">
        <v>142</v>
      </c>
      <c r="B24" t="s">
        <v>150</v>
      </c>
      <c r="D24" t="s">
        <v>149</v>
      </c>
      <c r="E24" t="s">
        <v>151</v>
      </c>
      <c r="F24">
        <v>11</v>
      </c>
      <c r="G24">
        <f t="shared" si="0"/>
        <v>3</v>
      </c>
      <c r="I24">
        <f t="shared" si="2"/>
        <v>11</v>
      </c>
    </row>
    <row r="25" spans="1:9" x14ac:dyDescent="0.2">
      <c r="A25">
        <v>85</v>
      </c>
      <c r="B25" t="s">
        <v>19</v>
      </c>
      <c r="C25" t="s">
        <v>20</v>
      </c>
      <c r="D25" t="s">
        <v>21</v>
      </c>
      <c r="E25" t="s">
        <v>22</v>
      </c>
      <c r="F25">
        <v>16</v>
      </c>
      <c r="G25">
        <f t="shared" si="0"/>
        <v>4</v>
      </c>
      <c r="I25">
        <f t="shared" si="2"/>
        <v>16</v>
      </c>
    </row>
    <row r="26" spans="1:9" x14ac:dyDescent="0.2">
      <c r="A26">
        <v>128</v>
      </c>
      <c r="B26" t="s">
        <v>162</v>
      </c>
      <c r="D26" t="s">
        <v>161</v>
      </c>
      <c r="E26" t="s">
        <v>163</v>
      </c>
      <c r="F26">
        <v>1</v>
      </c>
      <c r="G26">
        <f t="shared" si="0"/>
        <v>1</v>
      </c>
      <c r="H26" s="11"/>
      <c r="I26">
        <f t="shared" si="2"/>
        <v>1</v>
      </c>
    </row>
    <row r="27" spans="1:9" x14ac:dyDescent="0.2">
      <c r="A27">
        <v>36</v>
      </c>
      <c r="B27" t="s">
        <v>59</v>
      </c>
      <c r="C27" t="s">
        <v>62</v>
      </c>
      <c r="D27" t="s">
        <v>56</v>
      </c>
      <c r="E27" t="s">
        <v>57</v>
      </c>
      <c r="F27">
        <v>120</v>
      </c>
      <c r="G27">
        <f t="shared" si="0"/>
        <v>24</v>
      </c>
      <c r="I27">
        <f t="shared" si="2"/>
        <v>120</v>
      </c>
    </row>
    <row r="28" spans="1:9" x14ac:dyDescent="0.2">
      <c r="A28">
        <v>143</v>
      </c>
      <c r="B28" t="s">
        <v>165</v>
      </c>
      <c r="C28" t="s">
        <v>166</v>
      </c>
      <c r="D28" t="s">
        <v>164</v>
      </c>
      <c r="E28" t="s">
        <v>167</v>
      </c>
      <c r="F28">
        <v>6</v>
      </c>
      <c r="G28">
        <f t="shared" si="0"/>
        <v>2</v>
      </c>
      <c r="I28">
        <f t="shared" si="2"/>
        <v>6</v>
      </c>
    </row>
    <row r="29" spans="1:9" x14ac:dyDescent="0.2">
      <c r="A29">
        <v>43</v>
      </c>
      <c r="B29" t="s">
        <v>116</v>
      </c>
      <c r="C29" t="s">
        <v>23</v>
      </c>
      <c r="D29" t="s">
        <v>109</v>
      </c>
      <c r="E29" t="s">
        <v>117</v>
      </c>
      <c r="F29">
        <v>35</v>
      </c>
      <c r="G29">
        <f t="shared" si="0"/>
        <v>7</v>
      </c>
      <c r="H29" s="11"/>
      <c r="I29">
        <f t="shared" si="2"/>
        <v>35</v>
      </c>
    </row>
    <row r="30" spans="1:9" x14ac:dyDescent="0.2">
      <c r="A30">
        <v>95</v>
      </c>
      <c r="B30" t="s">
        <v>125</v>
      </c>
      <c r="C30" t="s">
        <v>63</v>
      </c>
      <c r="D30" t="s">
        <v>126</v>
      </c>
      <c r="E30" t="s">
        <v>24</v>
      </c>
      <c r="F30">
        <v>44</v>
      </c>
      <c r="G30">
        <f t="shared" si="0"/>
        <v>9</v>
      </c>
      <c r="I30">
        <f t="shared" si="2"/>
        <v>44</v>
      </c>
    </row>
    <row r="31" spans="1:9" x14ac:dyDescent="0.2">
      <c r="A31">
        <v>44</v>
      </c>
      <c r="B31" t="s">
        <v>82</v>
      </c>
      <c r="C31" t="s">
        <v>152</v>
      </c>
      <c r="D31" t="s">
        <v>83</v>
      </c>
      <c r="E31" t="s">
        <v>58</v>
      </c>
      <c r="F31">
        <v>116</v>
      </c>
      <c r="G31">
        <f t="shared" si="0"/>
        <v>24</v>
      </c>
      <c r="I31">
        <f t="shared" si="2"/>
        <v>116</v>
      </c>
    </row>
    <row r="32" spans="1:9" x14ac:dyDescent="0.2">
      <c r="A32">
        <v>49</v>
      </c>
      <c r="B32" t="s">
        <v>25</v>
      </c>
      <c r="C32" t="s">
        <v>26</v>
      </c>
      <c r="D32" t="s">
        <v>27</v>
      </c>
      <c r="E32" t="s">
        <v>25</v>
      </c>
      <c r="F32">
        <v>31</v>
      </c>
      <c r="G32">
        <f t="shared" si="0"/>
        <v>7</v>
      </c>
      <c r="I32">
        <f t="shared" si="2"/>
        <v>31</v>
      </c>
    </row>
    <row r="33" spans="1:9" x14ac:dyDescent="0.2">
      <c r="A33">
        <v>78</v>
      </c>
      <c r="B33" t="s">
        <v>110</v>
      </c>
      <c r="C33" t="s">
        <v>26</v>
      </c>
      <c r="D33" t="s">
        <v>111</v>
      </c>
      <c r="E33" t="s">
        <v>92</v>
      </c>
      <c r="F33">
        <v>23</v>
      </c>
      <c r="G33">
        <f t="shared" si="0"/>
        <v>5</v>
      </c>
      <c r="I33">
        <f t="shared" si="2"/>
        <v>23</v>
      </c>
    </row>
    <row r="34" spans="1:9" x14ac:dyDescent="0.2">
      <c r="A34">
        <v>50</v>
      </c>
      <c r="B34" t="s">
        <v>28</v>
      </c>
      <c r="C34" t="s">
        <v>29</v>
      </c>
      <c r="D34" t="s">
        <v>153</v>
      </c>
      <c r="E34" t="s">
        <v>30</v>
      </c>
      <c r="F34">
        <v>16</v>
      </c>
      <c r="G34">
        <f t="shared" si="0"/>
        <v>4</v>
      </c>
      <c r="I34">
        <f t="shared" si="2"/>
        <v>16</v>
      </c>
    </row>
    <row r="35" spans="1:9" x14ac:dyDescent="0.2">
      <c r="A35">
        <v>55</v>
      </c>
      <c r="B35" t="s">
        <v>31</v>
      </c>
      <c r="C35" t="s">
        <v>32</v>
      </c>
      <c r="D35" t="s">
        <v>33</v>
      </c>
      <c r="E35" t="s">
        <v>34</v>
      </c>
      <c r="F35" s="1">
        <v>12</v>
      </c>
      <c r="G35">
        <f t="shared" si="0"/>
        <v>3</v>
      </c>
      <c r="H35" s="11"/>
      <c r="I35">
        <f t="shared" si="2"/>
        <v>12</v>
      </c>
    </row>
    <row r="36" spans="1:9" x14ac:dyDescent="0.2">
      <c r="A36">
        <v>58</v>
      </c>
      <c r="B36" t="s">
        <v>35</v>
      </c>
      <c r="C36" t="s">
        <v>36</v>
      </c>
      <c r="D36" t="s">
        <v>37</v>
      </c>
      <c r="E36" t="s">
        <v>35</v>
      </c>
      <c r="F36" s="1">
        <v>8</v>
      </c>
      <c r="G36">
        <f t="shared" si="0"/>
        <v>2</v>
      </c>
      <c r="I36">
        <f t="shared" si="2"/>
        <v>8</v>
      </c>
    </row>
    <row r="37" spans="1:9" x14ac:dyDescent="0.2">
      <c r="A37">
        <v>97</v>
      </c>
      <c r="B37" t="s">
        <v>38</v>
      </c>
      <c r="C37" t="s">
        <v>32</v>
      </c>
      <c r="D37" t="s">
        <v>39</v>
      </c>
      <c r="E37" t="s">
        <v>40</v>
      </c>
      <c r="F37" s="1">
        <v>44</v>
      </c>
      <c r="G37">
        <f t="shared" si="0"/>
        <v>9</v>
      </c>
      <c r="I37">
        <f t="shared" si="2"/>
        <v>44</v>
      </c>
    </row>
    <row r="38" spans="1:9" x14ac:dyDescent="0.2">
      <c r="A38">
        <v>136</v>
      </c>
      <c r="B38" t="s">
        <v>127</v>
      </c>
      <c r="D38" t="s">
        <v>128</v>
      </c>
      <c r="E38" t="s">
        <v>129</v>
      </c>
      <c r="F38" s="1">
        <v>25</v>
      </c>
      <c r="G38">
        <f t="shared" si="0"/>
        <v>5</v>
      </c>
      <c r="I38">
        <f t="shared" si="2"/>
        <v>25</v>
      </c>
    </row>
    <row r="39" spans="1:9" x14ac:dyDescent="0.2">
      <c r="A39">
        <v>137</v>
      </c>
      <c r="B39" t="s">
        <v>130</v>
      </c>
      <c r="D39" t="s">
        <v>131</v>
      </c>
      <c r="E39" t="s">
        <v>132</v>
      </c>
      <c r="F39" s="1">
        <v>41</v>
      </c>
      <c r="G39">
        <f t="shared" si="0"/>
        <v>9</v>
      </c>
      <c r="I39">
        <f t="shared" si="2"/>
        <v>41</v>
      </c>
    </row>
    <row r="40" spans="1:9" x14ac:dyDescent="0.2">
      <c r="A40">
        <v>134</v>
      </c>
      <c r="B40" t="s">
        <v>169</v>
      </c>
      <c r="D40" t="s">
        <v>168</v>
      </c>
      <c r="E40" t="s">
        <v>170</v>
      </c>
      <c r="F40" s="1">
        <v>1</v>
      </c>
      <c r="G40">
        <f t="shared" si="0"/>
        <v>1</v>
      </c>
      <c r="I40">
        <f t="shared" si="2"/>
        <v>1</v>
      </c>
    </row>
    <row r="41" spans="1:9" x14ac:dyDescent="0.2">
      <c r="A41">
        <v>141</v>
      </c>
      <c r="B41" t="s">
        <v>155</v>
      </c>
      <c r="D41" t="s">
        <v>154</v>
      </c>
      <c r="E41" t="s">
        <v>156</v>
      </c>
      <c r="F41" s="1">
        <v>6</v>
      </c>
      <c r="G41">
        <f t="shared" si="0"/>
        <v>2</v>
      </c>
      <c r="I41">
        <f t="shared" si="2"/>
        <v>6</v>
      </c>
    </row>
    <row r="42" spans="1:9" x14ac:dyDescent="0.2">
      <c r="A42">
        <v>106</v>
      </c>
      <c r="B42" t="s">
        <v>78</v>
      </c>
      <c r="C42" t="s">
        <v>79</v>
      </c>
      <c r="D42" t="s">
        <v>133</v>
      </c>
      <c r="E42" t="s">
        <v>80</v>
      </c>
      <c r="F42" s="1">
        <v>8</v>
      </c>
      <c r="G42">
        <f t="shared" si="0"/>
        <v>2</v>
      </c>
      <c r="I42">
        <f t="shared" si="2"/>
        <v>8</v>
      </c>
    </row>
    <row r="43" spans="1:9" x14ac:dyDescent="0.2">
      <c r="A43">
        <v>114</v>
      </c>
      <c r="B43" t="s">
        <v>93</v>
      </c>
      <c r="C43" t="s">
        <v>81</v>
      </c>
      <c r="D43" t="s">
        <v>94</v>
      </c>
      <c r="E43" t="s">
        <v>95</v>
      </c>
      <c r="F43" s="1">
        <v>49</v>
      </c>
      <c r="G43">
        <f t="shared" si="0"/>
        <v>10</v>
      </c>
      <c r="I43">
        <f t="shared" si="2"/>
        <v>49</v>
      </c>
    </row>
    <row r="44" spans="1:9" x14ac:dyDescent="0.2">
      <c r="A44">
        <v>99</v>
      </c>
      <c r="B44" t="s">
        <v>41</v>
      </c>
      <c r="C44" t="s">
        <v>96</v>
      </c>
      <c r="D44" t="s">
        <v>134</v>
      </c>
      <c r="E44" t="s">
        <v>41</v>
      </c>
      <c r="F44" s="1">
        <v>152</v>
      </c>
      <c r="G44">
        <f t="shared" si="0"/>
        <v>31</v>
      </c>
      <c r="I44">
        <f t="shared" si="2"/>
        <v>152</v>
      </c>
    </row>
    <row r="45" spans="1:9" x14ac:dyDescent="0.2">
      <c r="A45">
        <v>72</v>
      </c>
      <c r="B45" t="s">
        <v>42</v>
      </c>
      <c r="C45" t="s">
        <v>157</v>
      </c>
      <c r="D45" t="s">
        <v>135</v>
      </c>
      <c r="E45" t="s">
        <v>42</v>
      </c>
      <c r="F45" s="1">
        <v>8</v>
      </c>
      <c r="G45">
        <f t="shared" si="0"/>
        <v>2</v>
      </c>
      <c r="I45">
        <f t="shared" si="2"/>
        <v>8</v>
      </c>
    </row>
    <row r="46" spans="1:9" x14ac:dyDescent="0.2">
      <c r="F46">
        <f>SUM(F3:F45)</f>
        <v>1402</v>
      </c>
      <c r="G46">
        <f>SUM(G3:G45)</f>
        <v>300</v>
      </c>
      <c r="I46">
        <f>SUM(I3:I45)</f>
        <v>1402</v>
      </c>
    </row>
    <row r="55" spans="1:7" x14ac:dyDescent="0.2">
      <c r="A55" s="2"/>
    </row>
    <row r="56" spans="1:7" x14ac:dyDescent="0.2">
      <c r="A56" s="2"/>
    </row>
    <row r="57" spans="1:7" x14ac:dyDescent="0.2">
      <c r="A57" s="2"/>
    </row>
    <row r="58" spans="1:7" x14ac:dyDescent="0.2">
      <c r="A58" s="19" t="s">
        <v>0</v>
      </c>
      <c r="B58" s="19" t="s">
        <v>1</v>
      </c>
      <c r="C58" s="19" t="s">
        <v>2</v>
      </c>
      <c r="D58" s="19" t="s">
        <v>3</v>
      </c>
      <c r="E58" s="19" t="s">
        <v>4</v>
      </c>
      <c r="F58" s="19" t="s">
        <v>137</v>
      </c>
      <c r="G58" s="19" t="s">
        <v>138</v>
      </c>
    </row>
    <row r="59" spans="1:7" x14ac:dyDescent="0.2">
      <c r="A59">
        <v>51</v>
      </c>
      <c r="B59" t="s">
        <v>139</v>
      </c>
      <c r="D59" t="s">
        <v>140</v>
      </c>
      <c r="E59" t="s">
        <v>141</v>
      </c>
      <c r="F59">
        <v>1</v>
      </c>
    </row>
    <row r="60" spans="1:7" x14ac:dyDescent="0.2">
      <c r="A60" s="2"/>
    </row>
    <row r="61" spans="1:7" x14ac:dyDescent="0.2">
      <c r="A61" s="2"/>
    </row>
    <row r="62" spans="1:7" x14ac:dyDescent="0.2">
      <c r="A62" s="2"/>
    </row>
  </sheetData>
  <sortState xmlns:xlrd2="http://schemas.microsoft.com/office/spreadsheetml/2017/richdata2" ref="A3:G35">
    <sortCondition ref="D3:D35"/>
  </sortState>
  <phoneticPr fontId="6" type="noConversion"/>
  <pageMargins left="0.70000000000000007" right="0.70000000000000007" top="0.75000000000000011" bottom="0.75000000000000011" header="0.30000000000000004" footer="0.30000000000000004"/>
  <pageSetup paperSize="9" fitToHeight="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AR50"/>
  <sheetViews>
    <sheetView zoomScale="90" zoomScaleNormal="90" workbookViewId="0">
      <selection sqref="A1:XFD1"/>
    </sheetView>
  </sheetViews>
  <sheetFormatPr baseColWidth="10" defaultRowHeight="15" x14ac:dyDescent="0.2"/>
  <cols>
    <col min="1" max="1" width="26" customWidth="1"/>
    <col min="2" max="3" width="10.83203125" customWidth="1"/>
    <col min="4" max="4" width="8" customWidth="1"/>
    <col min="5" max="5" width="10.83203125" hidden="1" customWidth="1"/>
    <col min="6" max="41" width="4.1640625" customWidth="1"/>
    <col min="42" max="42" width="10.83203125" customWidth="1"/>
  </cols>
  <sheetData>
    <row r="1" spans="1:44" x14ac:dyDescent="0.2">
      <c r="F1" s="30" t="s">
        <v>84</v>
      </c>
      <c r="G1" s="31"/>
      <c r="H1" s="32" t="s">
        <v>60</v>
      </c>
      <c r="I1" s="31"/>
      <c r="J1" s="30" t="s">
        <v>44</v>
      </c>
      <c r="K1" s="31"/>
      <c r="L1" s="32" t="s">
        <v>45</v>
      </c>
      <c r="M1" s="31"/>
      <c r="N1" s="28" t="s">
        <v>85</v>
      </c>
      <c r="O1" s="29"/>
      <c r="P1" s="28" t="s">
        <v>86</v>
      </c>
      <c r="Q1" s="29"/>
      <c r="R1" s="28" t="s">
        <v>112</v>
      </c>
      <c r="S1" s="29"/>
      <c r="T1" s="28" t="s">
        <v>46</v>
      </c>
      <c r="U1" s="29"/>
      <c r="V1" s="28" t="s">
        <v>47</v>
      </c>
      <c r="W1" s="29"/>
      <c r="X1" s="28" t="s">
        <v>69</v>
      </c>
      <c r="Y1" s="29"/>
      <c r="Z1" s="28" t="s">
        <v>67</v>
      </c>
      <c r="AA1" s="29"/>
      <c r="AB1" s="28" t="s">
        <v>61</v>
      </c>
      <c r="AC1" s="29"/>
      <c r="AD1" s="28" t="s">
        <v>48</v>
      </c>
      <c r="AE1" s="29"/>
      <c r="AF1" s="28" t="s">
        <v>49</v>
      </c>
      <c r="AG1" s="29"/>
      <c r="AH1" s="28" t="s">
        <v>70</v>
      </c>
      <c r="AI1" s="29"/>
      <c r="AJ1" s="28" t="s">
        <v>68</v>
      </c>
      <c r="AK1" s="29"/>
      <c r="AL1" s="33"/>
      <c r="AM1" s="33"/>
      <c r="AN1" s="33"/>
      <c r="AO1" s="33"/>
    </row>
    <row r="2" spans="1:44" x14ac:dyDescent="0.2">
      <c r="F2" s="3" t="s">
        <v>50</v>
      </c>
      <c r="G2" s="3" t="s">
        <v>51</v>
      </c>
      <c r="H2" s="3" t="s">
        <v>50</v>
      </c>
      <c r="I2" s="3" t="s">
        <v>51</v>
      </c>
      <c r="J2" s="3" t="s">
        <v>50</v>
      </c>
      <c r="K2" s="3" t="s">
        <v>51</v>
      </c>
      <c r="L2" s="3" t="s">
        <v>50</v>
      </c>
      <c r="M2" s="3" t="s">
        <v>51</v>
      </c>
      <c r="N2" s="3" t="s">
        <v>50</v>
      </c>
      <c r="O2" s="3" t="s">
        <v>51</v>
      </c>
      <c r="P2" s="3" t="s">
        <v>50</v>
      </c>
      <c r="Q2" s="3" t="s">
        <v>51</v>
      </c>
      <c r="R2" s="3" t="s">
        <v>50</v>
      </c>
      <c r="S2" s="3" t="s">
        <v>51</v>
      </c>
      <c r="T2" s="3" t="s">
        <v>50</v>
      </c>
      <c r="U2" s="3" t="s">
        <v>51</v>
      </c>
      <c r="V2" s="3" t="s">
        <v>50</v>
      </c>
      <c r="W2" s="3" t="s">
        <v>51</v>
      </c>
      <c r="X2" s="3" t="s">
        <v>50</v>
      </c>
      <c r="Y2" s="3" t="s">
        <v>51</v>
      </c>
      <c r="Z2" s="3" t="s">
        <v>50</v>
      </c>
      <c r="AA2" s="3" t="s">
        <v>51</v>
      </c>
      <c r="AB2" s="3" t="s">
        <v>50</v>
      </c>
      <c r="AC2" s="3" t="s">
        <v>51</v>
      </c>
      <c r="AD2" s="3" t="s">
        <v>50</v>
      </c>
      <c r="AE2" s="3" t="s">
        <v>51</v>
      </c>
      <c r="AF2" s="3" t="s">
        <v>50</v>
      </c>
      <c r="AG2" s="3" t="s">
        <v>51</v>
      </c>
      <c r="AH2" s="3" t="s">
        <v>50</v>
      </c>
      <c r="AI2" s="3" t="s">
        <v>51</v>
      </c>
      <c r="AJ2" s="3" t="s">
        <v>50</v>
      </c>
      <c r="AK2" s="3" t="s">
        <v>51</v>
      </c>
      <c r="AL2" s="23" t="s">
        <v>50</v>
      </c>
      <c r="AM2" s="23" t="s">
        <v>51</v>
      </c>
      <c r="AN2" s="3" t="s">
        <v>50</v>
      </c>
      <c r="AO2" s="3" t="s">
        <v>51</v>
      </c>
    </row>
    <row r="3" spans="1:44" x14ac:dyDescent="0.2">
      <c r="A3" s="9" t="str">
        <f>'E4-2016'!B3</f>
        <v>Lycee BETH SEFER</v>
      </c>
      <c r="B3" s="4" t="str">
        <f>'E4-2016'!D3</f>
        <v>0753372H</v>
      </c>
      <c r="C3" s="4" t="str">
        <f>'E4-2016'!E3</f>
        <v>SEFE</v>
      </c>
      <c r="D3" s="4">
        <f>'E4-2016'!G3</f>
        <v>2</v>
      </c>
      <c r="E3" s="4"/>
      <c r="F3" s="5">
        <v>1</v>
      </c>
      <c r="G3" s="5"/>
      <c r="H3" s="6">
        <v>1</v>
      </c>
      <c r="I3" s="6"/>
      <c r="J3" s="5"/>
      <c r="K3" s="5"/>
      <c r="L3" s="6"/>
      <c r="M3" s="6"/>
      <c r="N3" s="12"/>
      <c r="O3" s="13"/>
      <c r="P3" s="25"/>
      <c r="Q3" s="25"/>
      <c r="R3" s="12"/>
      <c r="S3" s="13"/>
      <c r="T3" s="14"/>
      <c r="U3" s="14"/>
      <c r="V3" s="16"/>
      <c r="W3" s="17"/>
      <c r="X3" s="18"/>
      <c r="Y3" s="18"/>
      <c r="Z3" s="16"/>
      <c r="AA3" s="17"/>
      <c r="AB3" s="18"/>
      <c r="AC3" s="18"/>
      <c r="AD3" s="5"/>
      <c r="AE3" s="5"/>
      <c r="AF3" s="6"/>
      <c r="AG3" s="6"/>
      <c r="AH3" s="5"/>
      <c r="AI3" s="5"/>
      <c r="AJ3" s="6"/>
      <c r="AK3" s="6"/>
      <c r="AL3" s="16"/>
      <c r="AM3" s="17"/>
      <c r="AN3" s="18"/>
      <c r="AO3" s="18"/>
      <c r="AP3">
        <f>SUM(F3:AO3)</f>
        <v>2</v>
      </c>
      <c r="AQ3" s="7">
        <f t="shared" ref="AQ3:AQ45" si="0">AP3-D3</f>
        <v>0</v>
      </c>
      <c r="AR3" t="str">
        <f t="shared" ref="AR3:AR36" si="1">A3</f>
        <v>Lycee BETH SEFER</v>
      </c>
    </row>
    <row r="4" spans="1:44" x14ac:dyDescent="0.2">
      <c r="A4" s="9" t="str">
        <f>'E4-2016'!B4</f>
        <v>Lycée Fénelon Sup La Pleine Monceau</v>
      </c>
      <c r="B4" s="4" t="str">
        <f>'E4-2016'!D4</f>
        <v>0754037F</v>
      </c>
      <c r="C4" s="4" t="str">
        <f>'E4-2016'!E4</f>
        <v>LFS</v>
      </c>
      <c r="D4" s="4">
        <f>'E4-2016'!G4</f>
        <v>2</v>
      </c>
      <c r="E4" s="4"/>
      <c r="F4" s="16"/>
      <c r="G4" s="17"/>
      <c r="H4" s="18"/>
      <c r="I4" s="18"/>
      <c r="J4" s="5"/>
      <c r="K4" s="5"/>
      <c r="L4" s="6"/>
      <c r="M4" s="6"/>
      <c r="N4" s="5">
        <v>1</v>
      </c>
      <c r="O4" s="5"/>
      <c r="P4" s="26">
        <v>1</v>
      </c>
      <c r="Q4" s="26"/>
      <c r="R4" s="5"/>
      <c r="S4" s="5"/>
      <c r="T4" s="6"/>
      <c r="U4" s="6"/>
      <c r="V4" s="5"/>
      <c r="W4" s="5"/>
      <c r="X4" s="6"/>
      <c r="Y4" s="6"/>
      <c r="Z4" s="16"/>
      <c r="AA4" s="17"/>
      <c r="AB4" s="18"/>
      <c r="AC4" s="18"/>
      <c r="AD4" s="5"/>
      <c r="AE4" s="5"/>
      <c r="AF4" s="6"/>
      <c r="AG4" s="6"/>
      <c r="AH4" s="5"/>
      <c r="AI4" s="5"/>
      <c r="AJ4" s="6"/>
      <c r="AK4" s="6"/>
      <c r="AL4" s="16"/>
      <c r="AM4" s="17"/>
      <c r="AN4" s="18"/>
      <c r="AO4" s="18"/>
      <c r="AP4">
        <f t="shared" ref="AP4:AP45" si="2">SUM(F4:AO4)</f>
        <v>2</v>
      </c>
      <c r="AQ4" s="7">
        <f t="shared" si="0"/>
        <v>0</v>
      </c>
      <c r="AR4" t="str">
        <f t="shared" si="1"/>
        <v>Lycée Fénelon Sup La Pleine Monceau</v>
      </c>
    </row>
    <row r="5" spans="1:44" x14ac:dyDescent="0.2">
      <c r="A5" s="9" t="str">
        <f>'E4-2016'!B5</f>
        <v>Ecole SORNAS</v>
      </c>
      <c r="B5" s="4" t="str">
        <f>'E4-2016'!D5</f>
        <v>0754101A</v>
      </c>
      <c r="C5" s="4" t="str">
        <f>'E4-2016'!E5</f>
        <v>SORN</v>
      </c>
      <c r="D5" s="4">
        <f>'E4-2016'!G5</f>
        <v>3</v>
      </c>
      <c r="E5" s="4"/>
      <c r="F5" s="16"/>
      <c r="G5" s="17"/>
      <c r="H5" s="18">
        <v>1</v>
      </c>
      <c r="I5" s="18"/>
      <c r="J5" s="16">
        <v>1</v>
      </c>
      <c r="K5" s="17"/>
      <c r="L5" s="18">
        <v>1</v>
      </c>
      <c r="M5" s="18"/>
      <c r="N5" s="5"/>
      <c r="O5" s="5"/>
      <c r="P5" s="26"/>
      <c r="Q5" s="26"/>
      <c r="R5" s="16"/>
      <c r="S5" s="17"/>
      <c r="T5" s="18"/>
      <c r="U5" s="18"/>
      <c r="V5" s="5"/>
      <c r="W5" s="5"/>
      <c r="X5" s="6"/>
      <c r="Y5" s="6"/>
      <c r="Z5" s="5"/>
      <c r="AA5" s="5"/>
      <c r="AB5" s="6"/>
      <c r="AC5" s="6"/>
      <c r="AD5" s="5"/>
      <c r="AE5" s="5"/>
      <c r="AF5" s="6"/>
      <c r="AG5" s="6"/>
      <c r="AH5" s="5"/>
      <c r="AI5" s="5"/>
      <c r="AJ5" s="6"/>
      <c r="AK5" s="6"/>
      <c r="AL5" s="24"/>
      <c r="AM5" s="24"/>
      <c r="AN5" s="6"/>
      <c r="AO5" s="6"/>
      <c r="AP5">
        <f t="shared" si="2"/>
        <v>3</v>
      </c>
      <c r="AQ5" s="7">
        <f t="shared" si="0"/>
        <v>0</v>
      </c>
      <c r="AR5" t="str">
        <f t="shared" si="1"/>
        <v>Ecole SORNAS</v>
      </c>
    </row>
    <row r="6" spans="1:44" x14ac:dyDescent="0.2">
      <c r="A6" s="9" t="str">
        <f>'E4-2016'!B6</f>
        <v>ITIC</v>
      </c>
      <c r="B6" s="4" t="str">
        <f>'E4-2016'!D6</f>
        <v>0754440U</v>
      </c>
      <c r="C6" s="4" t="str">
        <f>'E4-2016'!E6</f>
        <v>ITIC</v>
      </c>
      <c r="D6" s="4">
        <f>'E4-2016'!G6</f>
        <v>7</v>
      </c>
      <c r="E6" s="4"/>
      <c r="F6" s="16"/>
      <c r="G6" s="17"/>
      <c r="H6" s="18"/>
      <c r="I6" s="18"/>
      <c r="J6" s="16"/>
      <c r="K6" s="17"/>
      <c r="L6" s="18"/>
      <c r="M6" s="18"/>
      <c r="N6" s="16"/>
      <c r="O6" s="17"/>
      <c r="P6" s="27"/>
      <c r="Q6" s="27"/>
      <c r="R6" s="16">
        <v>2</v>
      </c>
      <c r="S6" s="17"/>
      <c r="T6" s="18">
        <v>2</v>
      </c>
      <c r="U6" s="18"/>
      <c r="V6" s="12">
        <v>2</v>
      </c>
      <c r="W6" s="13"/>
      <c r="X6" s="14">
        <v>1</v>
      </c>
      <c r="Y6" s="14"/>
      <c r="Z6" s="12"/>
      <c r="AA6" s="13"/>
      <c r="AB6" s="14"/>
      <c r="AC6" s="14"/>
      <c r="AD6" s="5"/>
      <c r="AE6" s="5"/>
      <c r="AF6" s="6"/>
      <c r="AG6" s="6"/>
      <c r="AH6" s="5"/>
      <c r="AI6" s="5"/>
      <c r="AJ6" s="6"/>
      <c r="AK6" s="6"/>
      <c r="AL6" s="24"/>
      <c r="AM6" s="24"/>
      <c r="AN6" s="6"/>
      <c r="AO6" s="6"/>
      <c r="AP6">
        <f t="shared" si="2"/>
        <v>7</v>
      </c>
      <c r="AQ6" s="7">
        <f t="shared" si="0"/>
        <v>0</v>
      </c>
      <c r="AR6" t="str">
        <f t="shared" si="1"/>
        <v>ITIC</v>
      </c>
    </row>
    <row r="7" spans="1:44" x14ac:dyDescent="0.2">
      <c r="A7" s="9" t="str">
        <f>'E4-2016'!B7</f>
        <v>CFA CERFAL</v>
      </c>
      <c r="B7" s="4" t="str">
        <f>'E4-2016'!D7</f>
        <v>0754458N</v>
      </c>
      <c r="C7" s="4" t="str">
        <f>'E4-2016'!E7</f>
        <v>CERF</v>
      </c>
      <c r="D7" s="4">
        <f>'E4-2016'!G7</f>
        <v>6</v>
      </c>
      <c r="E7" s="4"/>
      <c r="F7" s="12"/>
      <c r="G7" s="13"/>
      <c r="H7" s="14"/>
      <c r="I7" s="14"/>
      <c r="J7" s="12"/>
      <c r="K7" s="13"/>
      <c r="L7" s="14"/>
      <c r="M7" s="14"/>
      <c r="N7" s="12"/>
      <c r="O7" s="13"/>
      <c r="P7" s="25"/>
      <c r="Q7" s="25"/>
      <c r="R7" s="16"/>
      <c r="S7" s="17"/>
      <c r="T7" s="18"/>
      <c r="U7" s="18"/>
      <c r="V7" s="16"/>
      <c r="W7" s="17"/>
      <c r="X7" s="18"/>
      <c r="Y7" s="18"/>
      <c r="Z7" s="16"/>
      <c r="AA7" s="17"/>
      <c r="AB7" s="18"/>
      <c r="AC7" s="18"/>
      <c r="AD7" s="16">
        <v>2</v>
      </c>
      <c r="AE7" s="17"/>
      <c r="AF7" s="18">
        <v>2</v>
      </c>
      <c r="AG7" s="18"/>
      <c r="AH7" s="16">
        <v>2</v>
      </c>
      <c r="AI7" s="17"/>
      <c r="AJ7" s="18"/>
      <c r="AK7" s="18"/>
      <c r="AL7" s="16"/>
      <c r="AM7" s="17"/>
      <c r="AN7" s="18"/>
      <c r="AO7" s="18"/>
      <c r="AP7">
        <f t="shared" si="2"/>
        <v>6</v>
      </c>
      <c r="AQ7" s="7">
        <f t="shared" si="0"/>
        <v>0</v>
      </c>
      <c r="AR7" t="str">
        <f t="shared" si="1"/>
        <v>CFA CERFAL</v>
      </c>
    </row>
    <row r="8" spans="1:44" x14ac:dyDescent="0.2">
      <c r="A8" s="9" t="str">
        <f>'E4-2016'!B8</f>
        <v>CFA SACEF</v>
      </c>
      <c r="B8" s="4" t="str">
        <f>'E4-2016'!D8</f>
        <v>0754679D</v>
      </c>
      <c r="C8" s="4" t="str">
        <f>'E4-2016'!E8</f>
        <v>SACE</v>
      </c>
      <c r="D8" s="4">
        <f>'E4-2016'!G8</f>
        <v>2</v>
      </c>
      <c r="E8" s="4"/>
      <c r="F8" s="16"/>
      <c r="G8" s="17"/>
      <c r="H8" s="18"/>
      <c r="I8" s="18"/>
      <c r="J8" s="16"/>
      <c r="K8" s="17"/>
      <c r="L8" s="18"/>
      <c r="M8" s="18"/>
      <c r="N8" s="12"/>
      <c r="O8" s="13"/>
      <c r="P8" s="25"/>
      <c r="Q8" s="25"/>
      <c r="R8" s="5"/>
      <c r="S8" s="5"/>
      <c r="T8" s="6"/>
      <c r="U8" s="6"/>
      <c r="V8" s="5"/>
      <c r="W8" s="5"/>
      <c r="X8" s="6"/>
      <c r="Y8" s="6"/>
      <c r="Z8" s="5"/>
      <c r="AA8" s="5"/>
      <c r="AB8" s="6"/>
      <c r="AC8" s="6"/>
      <c r="AD8" s="16"/>
      <c r="AE8" s="17"/>
      <c r="AF8" s="18"/>
      <c r="AG8" s="18"/>
      <c r="AH8" s="16">
        <v>1</v>
      </c>
      <c r="AI8" s="17"/>
      <c r="AJ8" s="18">
        <v>1</v>
      </c>
      <c r="AK8" s="18"/>
      <c r="AL8" s="16"/>
      <c r="AM8" s="17"/>
      <c r="AN8" s="18"/>
      <c r="AO8" s="18"/>
      <c r="AP8">
        <f t="shared" si="2"/>
        <v>2</v>
      </c>
      <c r="AQ8" s="7">
        <f t="shared" si="0"/>
        <v>0</v>
      </c>
      <c r="AR8" t="str">
        <f t="shared" si="1"/>
        <v>CFA SACEF</v>
      </c>
    </row>
    <row r="9" spans="1:44" x14ac:dyDescent="0.2">
      <c r="A9" s="9" t="str">
        <f>'E4-2016'!B9</f>
        <v>GEFOR</v>
      </c>
      <c r="B9" s="4" t="str">
        <f>'E4-2016'!D9</f>
        <v>0755119G</v>
      </c>
      <c r="C9" s="4" t="str">
        <f>'E4-2016'!E9</f>
        <v>GEFO</v>
      </c>
      <c r="D9" s="4">
        <f>'E4-2016'!G9</f>
        <v>5</v>
      </c>
      <c r="E9" s="4"/>
      <c r="F9" s="5"/>
      <c r="G9" s="5"/>
      <c r="H9" s="6"/>
      <c r="I9" s="6"/>
      <c r="J9" s="16"/>
      <c r="K9" s="17"/>
      <c r="L9" s="18"/>
      <c r="M9" s="18"/>
      <c r="N9" s="16"/>
      <c r="O9" s="17"/>
      <c r="P9" s="27"/>
      <c r="Q9" s="27"/>
      <c r="R9" s="16"/>
      <c r="S9" s="17"/>
      <c r="T9" s="18">
        <v>1</v>
      </c>
      <c r="U9" s="18"/>
      <c r="V9" s="12">
        <v>1</v>
      </c>
      <c r="W9" s="13"/>
      <c r="X9" s="14">
        <v>1</v>
      </c>
      <c r="Y9" s="14"/>
      <c r="Z9" s="12">
        <v>1</v>
      </c>
      <c r="AA9" s="13"/>
      <c r="AB9" s="14">
        <v>1</v>
      </c>
      <c r="AC9" s="14"/>
      <c r="AD9" s="5"/>
      <c r="AE9" s="5"/>
      <c r="AF9" s="6"/>
      <c r="AG9" s="6"/>
      <c r="AH9" s="5"/>
      <c r="AI9" s="5"/>
      <c r="AJ9" s="6"/>
      <c r="AK9" s="6"/>
      <c r="AL9" s="24"/>
      <c r="AM9" s="24"/>
      <c r="AN9" s="6"/>
      <c r="AO9" s="6"/>
      <c r="AP9">
        <f t="shared" si="2"/>
        <v>5</v>
      </c>
      <c r="AQ9" s="7">
        <f t="shared" si="0"/>
        <v>0</v>
      </c>
      <c r="AR9" t="str">
        <f t="shared" si="1"/>
        <v>GEFOR</v>
      </c>
    </row>
    <row r="10" spans="1:44" x14ac:dyDescent="0.2">
      <c r="A10" s="9" t="str">
        <f>'E4-2016'!B10</f>
        <v>CFA IMC</v>
      </c>
      <c r="B10" s="4" t="str">
        <f>'E4-2016'!D10</f>
        <v>0755197S</v>
      </c>
      <c r="C10" s="4" t="str">
        <f>'E4-2016'!E10</f>
        <v>IMC</v>
      </c>
      <c r="D10" s="4">
        <f>'E4-2016'!G10</f>
        <v>4</v>
      </c>
      <c r="E10" s="4"/>
      <c r="F10" s="5"/>
      <c r="G10" s="5"/>
      <c r="H10" s="6"/>
      <c r="I10" s="6"/>
      <c r="J10" s="12"/>
      <c r="K10" s="13"/>
      <c r="L10" s="14"/>
      <c r="M10" s="14"/>
      <c r="N10" s="12"/>
      <c r="O10" s="13"/>
      <c r="P10" s="25"/>
      <c r="Q10" s="25"/>
      <c r="R10" s="12"/>
      <c r="S10" s="13"/>
      <c r="T10" s="14"/>
      <c r="U10" s="14"/>
      <c r="V10" s="16"/>
      <c r="W10" s="17"/>
      <c r="X10" s="18"/>
      <c r="Y10" s="18"/>
      <c r="Z10" s="16">
        <v>1</v>
      </c>
      <c r="AA10" s="17"/>
      <c r="AB10" s="18">
        <v>1</v>
      </c>
      <c r="AC10" s="18"/>
      <c r="AD10" s="16">
        <v>1</v>
      </c>
      <c r="AE10" s="17"/>
      <c r="AF10" s="18">
        <v>1</v>
      </c>
      <c r="AG10" s="18"/>
      <c r="AH10" s="16"/>
      <c r="AI10" s="17"/>
      <c r="AJ10" s="18"/>
      <c r="AK10" s="18"/>
      <c r="AL10" s="16"/>
      <c r="AM10" s="17"/>
      <c r="AN10" s="18"/>
      <c r="AO10" s="18"/>
      <c r="AP10">
        <f t="shared" si="2"/>
        <v>4</v>
      </c>
      <c r="AQ10" s="7">
        <f t="shared" si="0"/>
        <v>0</v>
      </c>
      <c r="AR10" t="str">
        <f t="shared" si="1"/>
        <v>CFA IMC</v>
      </c>
    </row>
    <row r="11" spans="1:44" x14ac:dyDescent="0.2">
      <c r="A11" s="9" t="str">
        <f>'E4-2016'!B11</f>
        <v>INSTA</v>
      </c>
      <c r="B11" s="4" t="str">
        <f>'E4-2016'!D11</f>
        <v>0755294X</v>
      </c>
      <c r="C11" s="4" t="str">
        <f>'E4-2016'!E11</f>
        <v>INSTA</v>
      </c>
      <c r="D11" s="4">
        <f>'E4-2016'!G11</f>
        <v>2</v>
      </c>
      <c r="E11" s="4"/>
      <c r="F11" s="16"/>
      <c r="G11" s="17"/>
      <c r="H11" s="18"/>
      <c r="I11" s="18"/>
      <c r="J11" s="16"/>
      <c r="K11" s="17"/>
      <c r="L11" s="18"/>
      <c r="M11" s="18"/>
      <c r="N11" s="16"/>
      <c r="O11" s="17"/>
      <c r="P11" s="27"/>
      <c r="Q11" s="27"/>
      <c r="R11" s="12"/>
      <c r="S11" s="13"/>
      <c r="T11" s="14"/>
      <c r="U11" s="14"/>
      <c r="V11" s="12"/>
      <c r="W11" s="13"/>
      <c r="X11" s="14"/>
      <c r="Y11" s="14"/>
      <c r="Z11" s="12"/>
      <c r="AA11" s="13"/>
      <c r="AB11" s="14"/>
      <c r="AC11" s="14"/>
      <c r="AD11" s="5"/>
      <c r="AE11" s="5"/>
      <c r="AF11" s="6"/>
      <c r="AG11" s="6"/>
      <c r="AH11" s="5">
        <v>1</v>
      </c>
      <c r="AI11" s="5"/>
      <c r="AJ11" s="6">
        <v>1</v>
      </c>
      <c r="AK11" s="6"/>
      <c r="AL11" s="24"/>
      <c r="AM11" s="24"/>
      <c r="AN11" s="6"/>
      <c r="AO11" s="6"/>
      <c r="AP11">
        <f t="shared" si="2"/>
        <v>2</v>
      </c>
      <c r="AQ11" s="7">
        <f t="shared" si="0"/>
        <v>0</v>
      </c>
      <c r="AR11" t="str">
        <f t="shared" si="1"/>
        <v>INSTA</v>
      </c>
    </row>
    <row r="12" spans="1:44" x14ac:dyDescent="0.2">
      <c r="A12" s="9" t="str">
        <f>'E4-2016'!B12</f>
        <v>CFA INSTA</v>
      </c>
      <c r="B12" s="4" t="str">
        <f>'E4-2016'!D12</f>
        <v>0755432X</v>
      </c>
      <c r="C12" s="4" t="str">
        <f>'E4-2016'!E12</f>
        <v>CINST</v>
      </c>
      <c r="D12" s="4">
        <f>'E4-2016'!G12</f>
        <v>12</v>
      </c>
      <c r="E12" s="4"/>
      <c r="F12" s="12"/>
      <c r="G12" s="13"/>
      <c r="H12" s="14"/>
      <c r="I12" s="14"/>
      <c r="J12" s="12"/>
      <c r="K12" s="13"/>
      <c r="L12" s="14"/>
      <c r="M12" s="14"/>
      <c r="N12" s="16"/>
      <c r="O12" s="17"/>
      <c r="P12" s="27"/>
      <c r="Q12" s="27"/>
      <c r="R12" s="16"/>
      <c r="S12" s="17"/>
      <c r="T12" s="18"/>
      <c r="U12" s="18"/>
      <c r="V12" s="16"/>
      <c r="W12" s="17"/>
      <c r="X12" s="18"/>
      <c r="Y12" s="18"/>
      <c r="Z12" s="16">
        <v>2</v>
      </c>
      <c r="AA12" s="17"/>
      <c r="AB12" s="18">
        <v>2</v>
      </c>
      <c r="AC12" s="18"/>
      <c r="AD12" s="5">
        <v>2</v>
      </c>
      <c r="AE12" s="5"/>
      <c r="AF12" s="6">
        <v>2</v>
      </c>
      <c r="AG12" s="6"/>
      <c r="AH12" s="5">
        <v>2</v>
      </c>
      <c r="AI12" s="5"/>
      <c r="AJ12" s="6">
        <v>2</v>
      </c>
      <c r="AK12" s="6"/>
      <c r="AL12" s="24"/>
      <c r="AM12" s="24"/>
      <c r="AN12" s="6"/>
      <c r="AO12" s="6"/>
      <c r="AP12">
        <f t="shared" si="2"/>
        <v>12</v>
      </c>
      <c r="AQ12" s="7">
        <f t="shared" si="0"/>
        <v>0</v>
      </c>
      <c r="AR12" t="str">
        <f t="shared" si="1"/>
        <v>CFA INSTA</v>
      </c>
    </row>
    <row r="13" spans="1:44" x14ac:dyDescent="0.2">
      <c r="A13" s="9" t="str">
        <f>'E4-2016'!B13</f>
        <v>Cours Privé Diderot Paris 11</v>
      </c>
      <c r="B13" s="4" t="str">
        <f>'E4-2016'!D13</f>
        <v>0755559K</v>
      </c>
      <c r="C13" s="4" t="str">
        <f>'E4-2016'!E13</f>
        <v>DID</v>
      </c>
      <c r="D13" s="4">
        <f>'E4-2016'!G13</f>
        <v>1</v>
      </c>
      <c r="E13" s="4"/>
      <c r="F13" s="16"/>
      <c r="G13" s="17"/>
      <c r="H13" s="18"/>
      <c r="I13" s="18"/>
      <c r="J13" s="16"/>
      <c r="K13" s="17"/>
      <c r="L13" s="18"/>
      <c r="M13" s="18"/>
      <c r="N13" s="16"/>
      <c r="O13" s="17"/>
      <c r="P13" s="27"/>
      <c r="Q13" s="27"/>
      <c r="R13" s="16"/>
      <c r="S13" s="17"/>
      <c r="T13" s="18"/>
      <c r="U13" s="18"/>
      <c r="V13" s="16"/>
      <c r="W13" s="17"/>
      <c r="X13" s="18"/>
      <c r="Y13" s="18"/>
      <c r="Z13" s="16"/>
      <c r="AA13" s="17"/>
      <c r="AB13" s="18"/>
      <c r="AC13" s="18"/>
      <c r="AD13" s="16"/>
      <c r="AE13" s="17"/>
      <c r="AF13" s="18"/>
      <c r="AG13" s="18"/>
      <c r="AH13" s="16"/>
      <c r="AI13" s="17"/>
      <c r="AJ13" s="18">
        <v>1</v>
      </c>
      <c r="AK13" s="18"/>
      <c r="AL13" s="16"/>
      <c r="AM13" s="17"/>
      <c r="AN13" s="18"/>
      <c r="AO13" s="18"/>
      <c r="AP13">
        <f t="shared" si="2"/>
        <v>1</v>
      </c>
      <c r="AQ13" s="7">
        <f t="shared" si="0"/>
        <v>0</v>
      </c>
      <c r="AR13" t="str">
        <f t="shared" si="1"/>
        <v>Cours Privé Diderot Paris 11</v>
      </c>
    </row>
    <row r="14" spans="1:44" x14ac:dyDescent="0.2">
      <c r="A14" s="9" t="str">
        <f>'E4-2016'!B14</f>
        <v>ISMI</v>
      </c>
      <c r="B14" s="4" t="str">
        <f>'E4-2016'!D14</f>
        <v>0755577E</v>
      </c>
      <c r="C14" s="4" t="str">
        <f>'E4-2016'!E14</f>
        <v>ISMI</v>
      </c>
      <c r="D14" s="4">
        <f>'E4-2016'!G14</f>
        <v>1</v>
      </c>
      <c r="E14" s="4"/>
      <c r="F14" s="16"/>
      <c r="G14" s="17"/>
      <c r="H14" s="18"/>
      <c r="I14" s="18"/>
      <c r="J14" s="16"/>
      <c r="K14" s="17"/>
      <c r="L14" s="18"/>
      <c r="M14" s="18"/>
      <c r="N14" s="16"/>
      <c r="O14" s="17"/>
      <c r="P14" s="27"/>
      <c r="Q14" s="27"/>
      <c r="R14" s="16"/>
      <c r="S14" s="17"/>
      <c r="T14" s="18"/>
      <c r="U14" s="18"/>
      <c r="V14" s="16"/>
      <c r="W14" s="17"/>
      <c r="X14" s="18"/>
      <c r="Y14" s="18"/>
      <c r="Z14" s="5"/>
      <c r="AA14" s="5"/>
      <c r="AB14" s="6"/>
      <c r="AC14" s="6"/>
      <c r="AD14" s="5"/>
      <c r="AE14" s="5"/>
      <c r="AF14" s="6"/>
      <c r="AG14" s="6"/>
      <c r="AH14" s="5"/>
      <c r="AI14" s="5"/>
      <c r="AJ14" s="6"/>
      <c r="AK14" s="6"/>
      <c r="AL14" s="16"/>
      <c r="AM14" s="17"/>
      <c r="AN14" s="18"/>
      <c r="AO14" s="18"/>
      <c r="AP14">
        <f t="shared" si="2"/>
        <v>0</v>
      </c>
      <c r="AQ14" s="7">
        <f t="shared" si="0"/>
        <v>-1</v>
      </c>
      <c r="AR14" t="str">
        <f t="shared" si="1"/>
        <v>ISMI</v>
      </c>
    </row>
    <row r="15" spans="1:44" x14ac:dyDescent="0.2">
      <c r="A15" s="9" t="str">
        <f>'E4-2016'!B15</f>
        <v>IPSSI</v>
      </c>
      <c r="B15" s="4" t="str">
        <f>'E4-2016'!D15</f>
        <v>0755724P</v>
      </c>
      <c r="C15" s="4" t="str">
        <f>'E4-2016'!E15</f>
        <v>IPSS</v>
      </c>
      <c r="D15" s="4">
        <f>'E4-2016'!G15</f>
        <v>16</v>
      </c>
      <c r="E15" s="4"/>
      <c r="F15" s="16"/>
      <c r="G15" s="17"/>
      <c r="H15" s="18"/>
      <c r="I15" s="18"/>
      <c r="J15" s="16"/>
      <c r="K15" s="17"/>
      <c r="L15" s="18"/>
      <c r="M15" s="18"/>
      <c r="N15" s="16"/>
      <c r="O15" s="17"/>
      <c r="P15" s="27">
        <v>2</v>
      </c>
      <c r="Q15" s="27"/>
      <c r="R15" s="16">
        <v>2</v>
      </c>
      <c r="S15" s="17"/>
      <c r="T15" s="18">
        <v>2</v>
      </c>
      <c r="U15" s="18"/>
      <c r="V15" s="12">
        <v>2</v>
      </c>
      <c r="W15" s="13"/>
      <c r="X15" s="14">
        <v>2</v>
      </c>
      <c r="Y15" s="14"/>
      <c r="Z15" s="12">
        <v>2</v>
      </c>
      <c r="AA15" s="13"/>
      <c r="AB15" s="14">
        <v>2</v>
      </c>
      <c r="AC15" s="14"/>
      <c r="AD15" s="5">
        <v>2</v>
      </c>
      <c r="AE15" s="5"/>
      <c r="AF15" s="6"/>
      <c r="AG15" s="6"/>
      <c r="AH15" s="5"/>
      <c r="AI15" s="5"/>
      <c r="AJ15" s="6"/>
      <c r="AK15" s="6"/>
      <c r="AL15" s="24"/>
      <c r="AM15" s="24"/>
      <c r="AN15" s="6"/>
      <c r="AO15" s="6"/>
      <c r="AP15">
        <f t="shared" si="2"/>
        <v>16</v>
      </c>
      <c r="AQ15" s="7">
        <f t="shared" si="0"/>
        <v>0</v>
      </c>
      <c r="AR15" t="str">
        <f t="shared" si="1"/>
        <v>IPSSI</v>
      </c>
    </row>
    <row r="16" spans="1:44" x14ac:dyDescent="0.2">
      <c r="A16" s="9" t="str">
        <f>'E4-2016'!B16</f>
        <v>IRIS</v>
      </c>
      <c r="B16" s="4" t="str">
        <f>'E4-2016'!D16</f>
        <v>0755748R</v>
      </c>
      <c r="C16" s="4" t="str">
        <f>'E4-2016'!E16</f>
        <v>IRIS</v>
      </c>
      <c r="D16" s="4">
        <f>'E4-2016'!G16</f>
        <v>36</v>
      </c>
      <c r="E16" s="4"/>
      <c r="F16" s="16">
        <v>3</v>
      </c>
      <c r="G16" s="17"/>
      <c r="H16" s="18">
        <v>3</v>
      </c>
      <c r="I16" s="18"/>
      <c r="J16" s="16">
        <v>3</v>
      </c>
      <c r="K16" s="17"/>
      <c r="L16" s="18">
        <v>3</v>
      </c>
      <c r="M16" s="18"/>
      <c r="N16" s="16">
        <v>2</v>
      </c>
      <c r="O16" s="17"/>
      <c r="P16" s="27">
        <v>2</v>
      </c>
      <c r="Q16" s="27"/>
      <c r="R16" s="16">
        <v>2</v>
      </c>
      <c r="S16" s="17"/>
      <c r="T16" s="18">
        <v>2</v>
      </c>
      <c r="U16" s="18"/>
      <c r="V16" s="16">
        <v>2</v>
      </c>
      <c r="W16" s="17"/>
      <c r="X16" s="18">
        <v>2</v>
      </c>
      <c r="Y16" s="18"/>
      <c r="Z16" s="16">
        <v>2</v>
      </c>
      <c r="AA16" s="17"/>
      <c r="AB16" s="18">
        <v>2</v>
      </c>
      <c r="AC16" s="18"/>
      <c r="AD16" s="5">
        <v>2</v>
      </c>
      <c r="AE16" s="5"/>
      <c r="AF16" s="6">
        <v>2</v>
      </c>
      <c r="AG16" s="6"/>
      <c r="AH16" s="5">
        <v>2</v>
      </c>
      <c r="AI16" s="5"/>
      <c r="AJ16" s="6">
        <v>2</v>
      </c>
      <c r="AK16" s="6"/>
      <c r="AL16" s="24"/>
      <c r="AM16" s="24"/>
      <c r="AN16" s="6"/>
      <c r="AO16" s="6"/>
      <c r="AP16">
        <f t="shared" si="2"/>
        <v>36</v>
      </c>
      <c r="AQ16" s="7">
        <f t="shared" si="0"/>
        <v>0</v>
      </c>
      <c r="AR16" t="str">
        <f t="shared" si="1"/>
        <v>IRIS</v>
      </c>
    </row>
    <row r="17" spans="1:44" x14ac:dyDescent="0.2">
      <c r="A17" s="9" t="str">
        <f>'E4-2016'!B17</f>
        <v>APEP SUP</v>
      </c>
      <c r="B17" s="4" t="str">
        <f>'E4-2016'!D17</f>
        <v>0755775V</v>
      </c>
      <c r="C17" s="4" t="str">
        <f>'E4-2016'!E17</f>
        <v>APEP</v>
      </c>
      <c r="D17" s="4">
        <f>'E4-2016'!G17</f>
        <v>6</v>
      </c>
      <c r="E17" s="4"/>
      <c r="F17" s="16"/>
      <c r="G17" s="17"/>
      <c r="H17" s="18"/>
      <c r="I17" s="18"/>
      <c r="J17" s="16"/>
      <c r="K17" s="17"/>
      <c r="L17" s="18"/>
      <c r="M17" s="18"/>
      <c r="N17" s="16"/>
      <c r="O17" s="17"/>
      <c r="P17" s="27"/>
      <c r="Q17" s="27"/>
      <c r="R17" s="16"/>
      <c r="S17" s="17"/>
      <c r="T17" s="18"/>
      <c r="U17" s="18"/>
      <c r="V17" s="16"/>
      <c r="W17" s="17"/>
      <c r="X17" s="18"/>
      <c r="Y17" s="18"/>
      <c r="Z17" s="16"/>
      <c r="AA17" s="17"/>
      <c r="AB17" s="18"/>
      <c r="AC17" s="18"/>
      <c r="AD17" s="16"/>
      <c r="AE17" s="17"/>
      <c r="AF17" s="18">
        <v>2</v>
      </c>
      <c r="AG17" s="18"/>
      <c r="AH17" s="16">
        <v>2</v>
      </c>
      <c r="AI17" s="17"/>
      <c r="AJ17" s="18">
        <v>2</v>
      </c>
      <c r="AK17" s="18"/>
      <c r="AL17" s="16"/>
      <c r="AM17" s="17"/>
      <c r="AN17" s="18"/>
      <c r="AO17" s="18"/>
      <c r="AP17">
        <f t="shared" si="2"/>
        <v>6</v>
      </c>
      <c r="AQ17" s="7">
        <f t="shared" si="0"/>
        <v>0</v>
      </c>
      <c r="AR17" t="str">
        <f t="shared" si="1"/>
        <v>APEP SUP</v>
      </c>
    </row>
    <row r="18" spans="1:44" x14ac:dyDescent="0.2">
      <c r="A18" s="9" t="str">
        <f>'E4-2016'!B18</f>
        <v>ADG</v>
      </c>
      <c r="B18" s="4" t="str">
        <f>'E4-2016'!D18</f>
        <v>0755827B</v>
      </c>
      <c r="C18" s="4" t="str">
        <f>'E4-2016'!E18</f>
        <v>ADG</v>
      </c>
      <c r="D18" s="4">
        <f>'E4-2016'!G18</f>
        <v>3</v>
      </c>
      <c r="E18" s="4"/>
      <c r="F18" s="16"/>
      <c r="G18" s="17"/>
      <c r="H18" s="18"/>
      <c r="I18" s="18"/>
      <c r="J18" s="16"/>
      <c r="K18" s="17"/>
      <c r="L18" s="18"/>
      <c r="M18" s="18"/>
      <c r="N18" s="16"/>
      <c r="O18" s="17"/>
      <c r="P18" s="27"/>
      <c r="Q18" s="27"/>
      <c r="R18" s="16"/>
      <c r="S18" s="17"/>
      <c r="T18" s="18"/>
      <c r="U18" s="18"/>
      <c r="V18" s="16"/>
      <c r="W18" s="17"/>
      <c r="X18" s="18"/>
      <c r="Y18" s="18"/>
      <c r="Z18" s="16"/>
      <c r="AA18" s="17"/>
      <c r="AB18" s="18"/>
      <c r="AC18" s="18"/>
      <c r="AD18" s="5"/>
      <c r="AE18" s="5"/>
      <c r="AF18" s="6">
        <v>1</v>
      </c>
      <c r="AG18" s="6"/>
      <c r="AH18" s="5">
        <v>1</v>
      </c>
      <c r="AI18" s="5"/>
      <c r="AJ18" s="6">
        <v>1</v>
      </c>
      <c r="AK18" s="6"/>
      <c r="AL18" s="24"/>
      <c r="AM18" s="24"/>
      <c r="AN18" s="6"/>
      <c r="AO18" s="6"/>
      <c r="AP18">
        <f t="shared" si="2"/>
        <v>3</v>
      </c>
      <c r="AQ18" s="7">
        <f t="shared" si="0"/>
        <v>0</v>
      </c>
      <c r="AR18" t="str">
        <f t="shared" si="1"/>
        <v>ADG</v>
      </c>
    </row>
    <row r="19" spans="1:44" x14ac:dyDescent="0.2">
      <c r="A19" s="9" t="str">
        <f>'E4-2016'!B19</f>
        <v>INSTA Paris</v>
      </c>
      <c r="B19" s="4" t="str">
        <f>'E4-2016'!D19</f>
        <v>0755931P</v>
      </c>
      <c r="C19" s="4" t="str">
        <f>'E4-2016'!E19</f>
        <v>INST</v>
      </c>
      <c r="D19" s="4">
        <f>'E4-2016'!G19</f>
        <v>9</v>
      </c>
      <c r="E19" s="4"/>
      <c r="F19" s="16"/>
      <c r="G19" s="17"/>
      <c r="H19" s="18"/>
      <c r="I19" s="18"/>
      <c r="J19" s="16"/>
      <c r="K19" s="17"/>
      <c r="L19" s="18"/>
      <c r="M19" s="18"/>
      <c r="N19" s="16"/>
      <c r="O19" s="17"/>
      <c r="P19" s="27"/>
      <c r="Q19" s="27"/>
      <c r="R19" s="16"/>
      <c r="S19" s="17"/>
      <c r="T19" s="18"/>
      <c r="U19" s="18"/>
      <c r="V19" s="12">
        <v>1</v>
      </c>
      <c r="W19" s="13"/>
      <c r="X19" s="14">
        <v>2</v>
      </c>
      <c r="Y19" s="14"/>
      <c r="Z19" s="12">
        <v>2</v>
      </c>
      <c r="AA19" s="13"/>
      <c r="AB19" s="14">
        <v>2</v>
      </c>
      <c r="AC19" s="14"/>
      <c r="AD19" s="5">
        <v>2</v>
      </c>
      <c r="AE19" s="5"/>
      <c r="AF19" s="6"/>
      <c r="AG19" s="6"/>
      <c r="AH19" s="5"/>
      <c r="AI19" s="5"/>
      <c r="AJ19" s="6"/>
      <c r="AK19" s="6"/>
      <c r="AL19" s="24"/>
      <c r="AM19" s="24"/>
      <c r="AN19" s="6"/>
      <c r="AO19" s="6"/>
      <c r="AP19">
        <f t="shared" si="2"/>
        <v>9</v>
      </c>
      <c r="AQ19" s="7">
        <f t="shared" si="0"/>
        <v>0</v>
      </c>
      <c r="AR19" t="str">
        <f t="shared" si="1"/>
        <v>INSTA Paris</v>
      </c>
    </row>
    <row r="20" spans="1:44" x14ac:dyDescent="0.2">
      <c r="A20" s="9" t="str">
        <f>'E4-2016'!B20</f>
        <v>INGETIS Paris</v>
      </c>
      <c r="B20" s="4" t="str">
        <f>'E4-2016'!D20</f>
        <v>0755934T</v>
      </c>
      <c r="C20" s="4" t="str">
        <f>'E4-2016'!E20</f>
        <v>INGT</v>
      </c>
      <c r="D20" s="4">
        <f>'E4-2016'!G20</f>
        <v>9</v>
      </c>
      <c r="E20" s="4"/>
      <c r="F20" s="16">
        <v>2</v>
      </c>
      <c r="G20" s="17"/>
      <c r="H20" s="18">
        <v>2</v>
      </c>
      <c r="I20" s="18"/>
      <c r="J20" s="16">
        <v>2</v>
      </c>
      <c r="K20" s="17"/>
      <c r="L20" s="18">
        <v>2</v>
      </c>
      <c r="M20" s="18"/>
      <c r="N20" s="5">
        <v>1</v>
      </c>
      <c r="O20" s="5"/>
      <c r="P20" s="26"/>
      <c r="Q20" s="26"/>
      <c r="R20" s="16"/>
      <c r="S20" s="17"/>
      <c r="T20" s="18"/>
      <c r="U20" s="18"/>
      <c r="V20" s="16"/>
      <c r="W20" s="17"/>
      <c r="X20" s="18"/>
      <c r="Y20" s="18"/>
      <c r="Z20" s="12"/>
      <c r="AA20" s="13"/>
      <c r="AB20" s="14"/>
      <c r="AC20" s="14"/>
      <c r="AD20" s="5"/>
      <c r="AE20" s="5"/>
      <c r="AF20" s="6"/>
      <c r="AG20" s="6"/>
      <c r="AH20" s="5"/>
      <c r="AI20" s="5"/>
      <c r="AJ20" s="6"/>
      <c r="AK20" s="6"/>
      <c r="AL20" s="24"/>
      <c r="AM20" s="24"/>
      <c r="AN20" s="6"/>
      <c r="AO20" s="6"/>
      <c r="AP20">
        <f t="shared" si="2"/>
        <v>9</v>
      </c>
      <c r="AQ20" s="7">
        <f t="shared" si="0"/>
        <v>0</v>
      </c>
      <c r="AR20" t="str">
        <f t="shared" si="1"/>
        <v>INGETIS Paris</v>
      </c>
    </row>
    <row r="21" spans="1:44" x14ac:dyDescent="0.2">
      <c r="A21" s="9" t="str">
        <f>'E4-2016'!B21</f>
        <v>SCHOLA NOVA</v>
      </c>
      <c r="B21" s="4" t="str">
        <f>'E4-2016'!D21</f>
        <v>0756002S</v>
      </c>
      <c r="C21" s="4" t="str">
        <f>'E4-2016'!E21</f>
        <v>SCHN</v>
      </c>
      <c r="D21" s="4">
        <f>'E4-2016'!G21</f>
        <v>4</v>
      </c>
      <c r="E21" s="4"/>
      <c r="F21" s="5"/>
      <c r="G21" s="5"/>
      <c r="H21" s="6"/>
      <c r="I21" s="6"/>
      <c r="J21" s="5"/>
      <c r="K21" s="5"/>
      <c r="L21" s="6"/>
      <c r="M21" s="6"/>
      <c r="N21" s="16">
        <v>1</v>
      </c>
      <c r="O21" s="17"/>
      <c r="P21" s="27"/>
      <c r="Q21" s="27"/>
      <c r="R21" s="16"/>
      <c r="S21" s="17"/>
      <c r="T21" s="18"/>
      <c r="U21" s="18"/>
      <c r="V21" s="5"/>
      <c r="W21" s="5"/>
      <c r="X21" s="6"/>
      <c r="Y21" s="6"/>
      <c r="Z21" s="5"/>
      <c r="AA21" s="5"/>
      <c r="AB21" s="6"/>
      <c r="AC21" s="6"/>
      <c r="AD21" s="5"/>
      <c r="AE21" s="5"/>
      <c r="AF21" s="6">
        <v>1</v>
      </c>
      <c r="AG21" s="6"/>
      <c r="AH21" s="16">
        <v>1</v>
      </c>
      <c r="AI21" s="17"/>
      <c r="AJ21" s="18">
        <v>1</v>
      </c>
      <c r="AK21" s="18"/>
      <c r="AL21" s="16"/>
      <c r="AM21" s="17"/>
      <c r="AN21" s="18"/>
      <c r="AO21" s="18"/>
      <c r="AP21">
        <f t="shared" si="2"/>
        <v>4</v>
      </c>
      <c r="AQ21" s="7">
        <f t="shared" si="0"/>
        <v>0</v>
      </c>
      <c r="AR21" t="str">
        <f t="shared" si="1"/>
        <v>SCHOLA NOVA</v>
      </c>
    </row>
    <row r="22" spans="1:44" x14ac:dyDescent="0.2">
      <c r="A22" s="9" t="str">
        <f>'E4-2016'!B22</f>
        <v>EUROFORMA</v>
      </c>
      <c r="B22" s="4" t="str">
        <f>'E4-2016'!D22</f>
        <v>0756015F</v>
      </c>
      <c r="C22" s="4" t="str">
        <f>'E4-2016'!E22</f>
        <v>EURO</v>
      </c>
      <c r="D22" s="4">
        <f>'E4-2016'!G22</f>
        <v>1</v>
      </c>
      <c r="E22" s="4"/>
      <c r="F22" s="12"/>
      <c r="G22" s="13"/>
      <c r="H22" s="14"/>
      <c r="I22" s="14"/>
      <c r="J22" s="12"/>
      <c r="K22" s="13"/>
      <c r="L22" s="14"/>
      <c r="M22" s="14"/>
      <c r="N22" s="12"/>
      <c r="O22" s="13"/>
      <c r="P22" s="25"/>
      <c r="Q22" s="25"/>
      <c r="R22" s="5"/>
      <c r="S22" s="5"/>
      <c r="T22" s="6"/>
      <c r="U22" s="6"/>
      <c r="V22" s="16"/>
      <c r="W22" s="17"/>
      <c r="X22" s="18"/>
      <c r="Y22" s="18"/>
      <c r="Z22" s="16"/>
      <c r="AA22" s="17"/>
      <c r="AB22" s="18"/>
      <c r="AC22" s="18"/>
      <c r="AD22" s="16"/>
      <c r="AE22" s="17"/>
      <c r="AF22" s="18"/>
      <c r="AG22" s="18"/>
      <c r="AH22" s="5"/>
      <c r="AI22" s="5"/>
      <c r="AJ22" s="6">
        <v>1</v>
      </c>
      <c r="AK22" s="6"/>
      <c r="AL22" s="24"/>
      <c r="AM22" s="24"/>
      <c r="AN22" s="6"/>
      <c r="AO22" s="6"/>
      <c r="AP22">
        <f t="shared" si="2"/>
        <v>1</v>
      </c>
      <c r="AQ22" s="7">
        <f t="shared" si="0"/>
        <v>0</v>
      </c>
      <c r="AR22" t="str">
        <f t="shared" si="1"/>
        <v>EUROFORMA</v>
      </c>
    </row>
    <row r="23" spans="1:44" x14ac:dyDescent="0.2">
      <c r="A23" s="9" t="str">
        <f>'E4-2016'!B23</f>
        <v>IMCP Paris</v>
      </c>
      <c r="B23" s="4" t="str">
        <f>'E4-2016'!D23</f>
        <v>0756241B</v>
      </c>
      <c r="C23" s="4" t="str">
        <f>'E4-2016'!E23</f>
        <v>IMCP</v>
      </c>
      <c r="D23" s="4">
        <f>'E4-2016'!G23</f>
        <v>3</v>
      </c>
      <c r="E23" s="4"/>
      <c r="F23" s="16"/>
      <c r="G23" s="17"/>
      <c r="H23" s="18"/>
      <c r="I23" s="18"/>
      <c r="J23" s="5"/>
      <c r="K23" s="5"/>
      <c r="L23" s="6"/>
      <c r="M23" s="6"/>
      <c r="N23" s="16">
        <v>1</v>
      </c>
      <c r="O23" s="17"/>
      <c r="P23" s="27">
        <v>1</v>
      </c>
      <c r="Q23" s="27"/>
      <c r="R23" s="16">
        <v>1</v>
      </c>
      <c r="S23" s="17"/>
      <c r="T23" s="18"/>
      <c r="U23" s="18"/>
      <c r="V23" s="12"/>
      <c r="W23" s="13"/>
      <c r="X23" s="14"/>
      <c r="Y23" s="14"/>
      <c r="Z23" s="12"/>
      <c r="AA23" s="13"/>
      <c r="AB23" s="14"/>
      <c r="AC23" s="14"/>
      <c r="AD23" s="5"/>
      <c r="AE23" s="5"/>
      <c r="AF23" s="6"/>
      <c r="AG23" s="6"/>
      <c r="AH23" s="5"/>
      <c r="AI23" s="5"/>
      <c r="AJ23" s="6"/>
      <c r="AK23" s="6"/>
      <c r="AL23" s="24"/>
      <c r="AM23" s="24"/>
      <c r="AN23" s="6"/>
      <c r="AO23" s="6"/>
      <c r="AP23">
        <f t="shared" si="2"/>
        <v>3</v>
      </c>
      <c r="AQ23" s="7">
        <f t="shared" si="0"/>
        <v>0</v>
      </c>
      <c r="AR23" t="str">
        <f t="shared" si="1"/>
        <v>IMCP Paris</v>
      </c>
    </row>
    <row r="24" spans="1:44" x14ac:dyDescent="0.2">
      <c r="A24" s="9" t="str">
        <f>'E4-2016'!B24</f>
        <v>CFA ISW EDUCATION</v>
      </c>
      <c r="B24" s="4" t="str">
        <f>'E4-2016'!D24</f>
        <v>0756351W</v>
      </c>
      <c r="C24" s="4" t="str">
        <f>'E4-2016'!E24</f>
        <v>ISW</v>
      </c>
      <c r="D24" s="4">
        <f>'E4-2016'!G24</f>
        <v>3</v>
      </c>
      <c r="E24" s="4"/>
      <c r="F24" s="16"/>
      <c r="G24" s="17"/>
      <c r="H24" s="18"/>
      <c r="I24" s="18"/>
      <c r="J24" s="16"/>
      <c r="K24" s="17"/>
      <c r="L24" s="18"/>
      <c r="M24" s="18"/>
      <c r="N24" s="16"/>
      <c r="O24" s="17"/>
      <c r="P24" s="27"/>
      <c r="Q24" s="27"/>
      <c r="R24" s="16"/>
      <c r="S24" s="17"/>
      <c r="T24" s="18">
        <v>1</v>
      </c>
      <c r="U24" s="18"/>
      <c r="V24" s="16">
        <v>1</v>
      </c>
      <c r="W24" s="17"/>
      <c r="X24" s="18">
        <v>1</v>
      </c>
      <c r="Y24" s="18"/>
      <c r="Z24" s="16"/>
      <c r="AA24" s="17"/>
      <c r="AB24" s="18"/>
      <c r="AC24" s="18"/>
      <c r="AD24" s="5"/>
      <c r="AE24" s="5"/>
      <c r="AF24" s="6"/>
      <c r="AG24" s="6"/>
      <c r="AH24" s="5"/>
      <c r="AI24" s="5"/>
      <c r="AJ24" s="6"/>
      <c r="AK24" s="6"/>
      <c r="AL24" s="24"/>
      <c r="AM24" s="24"/>
      <c r="AN24" s="6"/>
      <c r="AO24" s="6"/>
      <c r="AP24">
        <f t="shared" si="2"/>
        <v>3</v>
      </c>
      <c r="AQ24" s="7">
        <f t="shared" si="0"/>
        <v>0</v>
      </c>
      <c r="AR24" t="str">
        <f t="shared" si="1"/>
        <v>CFA ISW EDUCATION</v>
      </c>
    </row>
    <row r="25" spans="1:44" x14ac:dyDescent="0.2">
      <c r="A25" s="15" t="str">
        <f>'E4-2016'!B25</f>
        <v>Lycee Jacques Prevert</v>
      </c>
      <c r="B25" s="4" t="str">
        <f>'E4-2016'!D25</f>
        <v>0771997C</v>
      </c>
      <c r="C25" s="4" t="str">
        <f>'E4-2016'!E25</f>
        <v>COMBS</v>
      </c>
      <c r="D25" s="4">
        <f>'E4-2016'!G25</f>
        <v>4</v>
      </c>
      <c r="E25" s="4"/>
      <c r="F25" s="16">
        <v>1</v>
      </c>
      <c r="G25" s="17"/>
      <c r="H25" s="18">
        <v>1</v>
      </c>
      <c r="I25" s="18"/>
      <c r="J25" s="16">
        <v>1</v>
      </c>
      <c r="K25" s="17"/>
      <c r="L25" s="18">
        <v>1</v>
      </c>
      <c r="M25" s="18"/>
      <c r="N25" s="16"/>
      <c r="O25" s="17"/>
      <c r="P25" s="27"/>
      <c r="Q25" s="27"/>
      <c r="R25" s="12"/>
      <c r="S25" s="13"/>
      <c r="T25" s="14"/>
      <c r="U25" s="14"/>
      <c r="V25" s="16"/>
      <c r="W25" s="17"/>
      <c r="X25" s="18"/>
      <c r="Y25" s="18"/>
      <c r="Z25" s="16"/>
      <c r="AA25" s="17"/>
      <c r="AB25" s="18"/>
      <c r="AC25" s="18"/>
      <c r="AD25" s="16"/>
      <c r="AE25" s="17"/>
      <c r="AF25" s="18"/>
      <c r="AG25" s="18"/>
      <c r="AH25" s="5"/>
      <c r="AI25" s="5"/>
      <c r="AJ25" s="6"/>
      <c r="AK25" s="6"/>
      <c r="AL25" s="24"/>
      <c r="AM25" s="24"/>
      <c r="AN25" s="6"/>
      <c r="AO25" s="6"/>
      <c r="AP25">
        <f t="shared" si="2"/>
        <v>4</v>
      </c>
      <c r="AQ25" s="7">
        <f t="shared" si="0"/>
        <v>0</v>
      </c>
      <c r="AR25" t="str">
        <f t="shared" si="1"/>
        <v>Lycee Jacques Prevert</v>
      </c>
    </row>
    <row r="26" spans="1:44" x14ac:dyDescent="0.2">
      <c r="A26" s="9" t="str">
        <f>'E4-2016'!B26</f>
        <v>Educatel 77</v>
      </c>
      <c r="B26" s="4" t="str">
        <f>'E4-2016'!D26</f>
        <v>077203SB</v>
      </c>
      <c r="C26" s="4" t="str">
        <f>'E4-2016'!E26</f>
        <v>ED77</v>
      </c>
      <c r="D26" s="4">
        <f>'E4-2016'!G26</f>
        <v>1</v>
      </c>
      <c r="E26" s="4"/>
      <c r="F26" s="16"/>
      <c r="G26" s="17"/>
      <c r="H26" s="18"/>
      <c r="I26" s="18"/>
      <c r="J26" s="16"/>
      <c r="K26" s="17"/>
      <c r="L26" s="18"/>
      <c r="M26" s="18"/>
      <c r="N26" s="16"/>
      <c r="O26" s="17"/>
      <c r="P26" s="27"/>
      <c r="Q26" s="27"/>
      <c r="R26" s="16"/>
      <c r="S26" s="17"/>
      <c r="T26" s="18"/>
      <c r="U26" s="18"/>
      <c r="V26" s="5"/>
      <c r="W26" s="5"/>
      <c r="X26" s="6"/>
      <c r="Y26" s="6"/>
      <c r="Z26" s="5"/>
      <c r="AA26" s="5"/>
      <c r="AB26" s="6"/>
      <c r="AC26" s="6"/>
      <c r="AD26" s="5"/>
      <c r="AE26" s="5"/>
      <c r="AF26" s="6"/>
      <c r="AG26" s="6"/>
      <c r="AH26" s="5"/>
      <c r="AI26" s="5"/>
      <c r="AJ26" s="6"/>
      <c r="AK26" s="6"/>
      <c r="AL26" s="24"/>
      <c r="AM26" s="24"/>
      <c r="AN26" s="6"/>
      <c r="AO26" s="6"/>
      <c r="AP26">
        <f t="shared" si="2"/>
        <v>0</v>
      </c>
      <c r="AQ26" s="7">
        <f t="shared" si="0"/>
        <v>-1</v>
      </c>
      <c r="AR26" t="str">
        <f t="shared" si="1"/>
        <v>Educatel 77</v>
      </c>
    </row>
    <row r="27" spans="1:44" x14ac:dyDescent="0.2">
      <c r="A27" s="9" t="str">
        <f>'E4-2016'!B27</f>
        <v>lycee Rene Descartes</v>
      </c>
      <c r="B27" s="4" t="str">
        <f>'E4-2016'!D27</f>
        <v>0772223Y</v>
      </c>
      <c r="C27" s="4" t="str">
        <f>'E4-2016'!E27</f>
        <v>CHAM</v>
      </c>
      <c r="D27" s="4">
        <f>'E4-2016'!G27</f>
        <v>24</v>
      </c>
      <c r="E27" s="4"/>
      <c r="F27" s="5"/>
      <c r="G27" s="5"/>
      <c r="H27" s="6"/>
      <c r="I27" s="6"/>
      <c r="J27" s="5"/>
      <c r="K27" s="5"/>
      <c r="L27" s="6"/>
      <c r="M27" s="6"/>
      <c r="N27" s="5">
        <v>2</v>
      </c>
      <c r="O27" s="5"/>
      <c r="P27" s="26">
        <v>2</v>
      </c>
      <c r="Q27" s="26"/>
      <c r="R27" s="12">
        <v>2</v>
      </c>
      <c r="S27" s="13"/>
      <c r="T27" s="14">
        <v>2</v>
      </c>
      <c r="U27" s="14"/>
      <c r="V27" s="16">
        <v>2</v>
      </c>
      <c r="W27" s="17"/>
      <c r="X27" s="18">
        <v>2</v>
      </c>
      <c r="Y27" s="18"/>
      <c r="Z27" s="16">
        <v>2</v>
      </c>
      <c r="AA27" s="17"/>
      <c r="AB27" s="18">
        <v>2</v>
      </c>
      <c r="AC27" s="18"/>
      <c r="AD27" s="5">
        <v>2</v>
      </c>
      <c r="AE27" s="5"/>
      <c r="AF27" s="6">
        <v>2</v>
      </c>
      <c r="AG27" s="6"/>
      <c r="AH27" s="5">
        <v>2</v>
      </c>
      <c r="AI27" s="5"/>
      <c r="AJ27" s="6">
        <v>2</v>
      </c>
      <c r="AK27" s="6"/>
      <c r="AL27" s="24"/>
      <c r="AM27" s="24"/>
      <c r="AN27" s="6"/>
      <c r="AO27" s="6"/>
      <c r="AP27">
        <f t="shared" si="2"/>
        <v>24</v>
      </c>
      <c r="AQ27" s="7">
        <f t="shared" si="0"/>
        <v>0</v>
      </c>
      <c r="AR27" t="str">
        <f t="shared" si="1"/>
        <v>lycee Rene Descartes</v>
      </c>
    </row>
    <row r="28" spans="1:44" ht="16" x14ac:dyDescent="0.2">
      <c r="A28" s="10" t="str">
        <f>'E4-2016'!B28</f>
        <v>EMSCA</v>
      </c>
      <c r="B28" s="4" t="str">
        <f>'E4-2016'!D28</f>
        <v>0772893B</v>
      </c>
      <c r="C28" s="4" t="str">
        <f>'E4-2016'!E28</f>
        <v>EMSC</v>
      </c>
      <c r="D28" s="4">
        <f>'E4-2016'!G28</f>
        <v>2</v>
      </c>
      <c r="E28" s="4"/>
      <c r="F28" s="16"/>
      <c r="G28" s="17"/>
      <c r="H28" s="18"/>
      <c r="I28" s="18"/>
      <c r="J28" s="16"/>
      <c r="K28" s="17"/>
      <c r="L28" s="18"/>
      <c r="M28" s="18"/>
      <c r="N28" s="16">
        <v>1</v>
      </c>
      <c r="O28" s="17"/>
      <c r="P28" s="27">
        <v>1</v>
      </c>
      <c r="Q28" s="27"/>
      <c r="R28" s="12"/>
      <c r="S28" s="13"/>
      <c r="T28" s="14"/>
      <c r="U28" s="14"/>
      <c r="V28" s="12"/>
      <c r="W28" s="13"/>
      <c r="X28" s="14"/>
      <c r="Y28" s="14"/>
      <c r="Z28" s="12"/>
      <c r="AA28" s="13"/>
      <c r="AB28" s="14"/>
      <c r="AC28" s="14"/>
      <c r="AD28" s="5"/>
      <c r="AE28" s="5"/>
      <c r="AF28" s="6"/>
      <c r="AG28" s="6"/>
      <c r="AH28" s="5"/>
      <c r="AI28" s="5"/>
      <c r="AJ28" s="6"/>
      <c r="AK28" s="6"/>
      <c r="AL28" s="24"/>
      <c r="AM28" s="24"/>
      <c r="AN28" s="6"/>
      <c r="AO28" s="6"/>
      <c r="AP28">
        <f t="shared" si="2"/>
        <v>2</v>
      </c>
      <c r="AQ28" s="7">
        <f t="shared" si="0"/>
        <v>0</v>
      </c>
      <c r="AR28" t="str">
        <f t="shared" si="1"/>
        <v>EMSCA</v>
      </c>
    </row>
    <row r="29" spans="1:44" x14ac:dyDescent="0.2">
      <c r="A29" s="9" t="str">
        <f>'E4-2016'!B29</f>
        <v>H3C Campus Poissy</v>
      </c>
      <c r="B29" s="4" t="str">
        <f>'E4-2016'!D29</f>
        <v>0781858W</v>
      </c>
      <c r="C29" s="4" t="str">
        <f>'E4-2016'!E29</f>
        <v>H3C</v>
      </c>
      <c r="D29" s="4">
        <f>'E4-2016'!G29</f>
        <v>7</v>
      </c>
      <c r="E29" s="4"/>
      <c r="F29" s="12">
        <v>2</v>
      </c>
      <c r="G29" s="13"/>
      <c r="H29" s="14">
        <v>2</v>
      </c>
      <c r="I29" s="14"/>
      <c r="J29" s="12">
        <v>2</v>
      </c>
      <c r="K29" s="13"/>
      <c r="L29" s="14">
        <v>1</v>
      </c>
      <c r="M29" s="14"/>
      <c r="N29" s="12"/>
      <c r="O29" s="13"/>
      <c r="P29" s="25"/>
      <c r="Q29" s="25"/>
      <c r="R29" s="12"/>
      <c r="S29" s="13"/>
      <c r="T29" s="14"/>
      <c r="U29" s="14"/>
      <c r="V29" s="12"/>
      <c r="W29" s="13"/>
      <c r="X29" s="14"/>
      <c r="Y29" s="14"/>
      <c r="Z29" s="16"/>
      <c r="AA29" s="17"/>
      <c r="AB29" s="18"/>
      <c r="AC29" s="18"/>
      <c r="AD29" s="16"/>
      <c r="AE29" s="17"/>
      <c r="AF29" s="18"/>
      <c r="AG29" s="18"/>
      <c r="AH29" s="16"/>
      <c r="AI29" s="17"/>
      <c r="AJ29" s="18"/>
      <c r="AK29" s="18"/>
      <c r="AL29" s="16"/>
      <c r="AM29" s="17"/>
      <c r="AN29" s="18"/>
      <c r="AO29" s="18"/>
      <c r="AP29">
        <f t="shared" si="2"/>
        <v>7</v>
      </c>
      <c r="AQ29" s="7">
        <f t="shared" si="0"/>
        <v>0</v>
      </c>
      <c r="AR29" t="str">
        <f t="shared" si="1"/>
        <v>H3C Campus Poissy</v>
      </c>
    </row>
    <row r="30" spans="1:44" x14ac:dyDescent="0.2">
      <c r="A30" s="9" t="str">
        <f>'E4-2016'!B30</f>
        <v>ENSUP CGSAT</v>
      </c>
      <c r="B30" s="4" t="str">
        <f>'E4-2016'!D30</f>
        <v>0783545E</v>
      </c>
      <c r="C30" s="4" t="str">
        <f>'E4-2016'!E30</f>
        <v>CGS</v>
      </c>
      <c r="D30" s="4">
        <f>'E4-2016'!G30</f>
        <v>9</v>
      </c>
      <c r="E30" s="4"/>
      <c r="F30" s="5"/>
      <c r="G30" s="5"/>
      <c r="H30" s="6"/>
      <c r="I30" s="6"/>
      <c r="J30" s="5"/>
      <c r="K30" s="5"/>
      <c r="L30" s="6"/>
      <c r="M30" s="6"/>
      <c r="N30" s="5"/>
      <c r="O30" s="5"/>
      <c r="P30" s="26">
        <v>2</v>
      </c>
      <c r="Q30" s="26"/>
      <c r="R30" s="16">
        <v>2</v>
      </c>
      <c r="S30" s="17"/>
      <c r="T30" s="18">
        <v>2</v>
      </c>
      <c r="U30" s="18"/>
      <c r="V30" s="16">
        <v>2</v>
      </c>
      <c r="W30" s="17"/>
      <c r="X30" s="18">
        <v>1</v>
      </c>
      <c r="Y30" s="18"/>
      <c r="Z30" s="16"/>
      <c r="AA30" s="17"/>
      <c r="AB30" s="18"/>
      <c r="AC30" s="18"/>
      <c r="AD30" s="5"/>
      <c r="AE30" s="5"/>
      <c r="AF30" s="6"/>
      <c r="AG30" s="6"/>
      <c r="AH30" s="5"/>
      <c r="AI30" s="5"/>
      <c r="AJ30" s="6"/>
      <c r="AK30" s="6"/>
      <c r="AL30" s="24"/>
      <c r="AM30" s="24"/>
      <c r="AN30" s="6"/>
      <c r="AO30" s="6"/>
      <c r="AP30">
        <f t="shared" si="2"/>
        <v>9</v>
      </c>
      <c r="AQ30" s="7">
        <f t="shared" si="0"/>
        <v>0</v>
      </c>
      <c r="AR30" t="str">
        <f t="shared" si="1"/>
        <v>ENSUP CGSAT</v>
      </c>
    </row>
    <row r="31" spans="1:44" x14ac:dyDescent="0.2">
      <c r="A31" s="9" t="str">
        <f>'E4-2016'!B31</f>
        <v>Lycee Geoffroy Saint Hilaire</v>
      </c>
      <c r="B31" s="4" t="str">
        <f>'E4-2016'!D31</f>
        <v>0910622G</v>
      </c>
      <c r="C31" s="4" t="str">
        <f>'E4-2016'!E31</f>
        <v>LAN</v>
      </c>
      <c r="D31" s="4">
        <f>'E4-2016'!G31</f>
        <v>24</v>
      </c>
      <c r="E31" s="4"/>
      <c r="F31" s="16"/>
      <c r="G31" s="17"/>
      <c r="H31" s="18"/>
      <c r="I31" s="18"/>
      <c r="J31" s="16"/>
      <c r="K31" s="17"/>
      <c r="L31" s="18"/>
      <c r="M31" s="18"/>
      <c r="N31" s="16">
        <v>2</v>
      </c>
      <c r="O31" s="17"/>
      <c r="P31" s="27">
        <v>2</v>
      </c>
      <c r="Q31" s="27"/>
      <c r="R31" s="12">
        <v>2</v>
      </c>
      <c r="S31" s="13"/>
      <c r="T31" s="14">
        <v>2</v>
      </c>
      <c r="U31" s="14"/>
      <c r="V31" s="16">
        <v>2</v>
      </c>
      <c r="W31" s="17"/>
      <c r="X31" s="18">
        <v>2</v>
      </c>
      <c r="Y31" s="18"/>
      <c r="Z31" s="16">
        <v>2</v>
      </c>
      <c r="AA31" s="17"/>
      <c r="AB31" s="18">
        <v>2</v>
      </c>
      <c r="AC31" s="18"/>
      <c r="AD31" s="5">
        <v>2</v>
      </c>
      <c r="AE31" s="5"/>
      <c r="AF31" s="6">
        <v>2</v>
      </c>
      <c r="AG31" s="6"/>
      <c r="AH31" s="5">
        <v>2</v>
      </c>
      <c r="AI31" s="5"/>
      <c r="AJ31" s="6">
        <v>2</v>
      </c>
      <c r="AK31" s="6"/>
      <c r="AL31" s="24"/>
      <c r="AM31" s="24"/>
      <c r="AN31" s="6"/>
      <c r="AO31" s="6"/>
      <c r="AP31">
        <f t="shared" si="2"/>
        <v>24</v>
      </c>
      <c r="AQ31" s="7">
        <f t="shared" si="0"/>
        <v>0</v>
      </c>
      <c r="AR31" t="str">
        <f t="shared" si="1"/>
        <v>Lycee Geoffroy Saint Hilaire</v>
      </c>
    </row>
    <row r="32" spans="1:44" x14ac:dyDescent="0.2">
      <c r="A32" s="9" t="str">
        <f>'E4-2016'!B32</f>
        <v>ITIS</v>
      </c>
      <c r="B32" s="4" t="str">
        <f>'E4-2016'!D32</f>
        <v>0911864G</v>
      </c>
      <c r="C32" s="4" t="str">
        <f>'E4-2016'!E32</f>
        <v>ITIS</v>
      </c>
      <c r="D32" s="4">
        <f>'E4-2016'!G32</f>
        <v>7</v>
      </c>
      <c r="E32" s="4"/>
      <c r="F32" s="12">
        <v>2</v>
      </c>
      <c r="G32" s="13"/>
      <c r="H32" s="14">
        <v>2</v>
      </c>
      <c r="I32" s="14"/>
      <c r="J32" s="12">
        <v>2</v>
      </c>
      <c r="K32" s="13"/>
      <c r="L32" s="14">
        <v>1</v>
      </c>
      <c r="M32" s="14"/>
      <c r="N32" s="5"/>
      <c r="O32" s="5"/>
      <c r="P32" s="26"/>
      <c r="Q32" s="26"/>
      <c r="R32" s="16"/>
      <c r="S32" s="17"/>
      <c r="T32" s="18"/>
      <c r="U32" s="18"/>
      <c r="V32" s="16"/>
      <c r="W32" s="17"/>
      <c r="X32" s="18"/>
      <c r="Y32" s="18"/>
      <c r="Z32" s="16"/>
      <c r="AA32" s="17"/>
      <c r="AB32" s="18"/>
      <c r="AC32" s="18"/>
      <c r="AD32" s="5"/>
      <c r="AE32" s="5"/>
      <c r="AF32" s="6"/>
      <c r="AG32" s="6"/>
      <c r="AH32" s="16"/>
      <c r="AI32" s="17"/>
      <c r="AJ32" s="18"/>
      <c r="AK32" s="18"/>
      <c r="AL32" s="16"/>
      <c r="AM32" s="17"/>
      <c r="AN32" s="18"/>
      <c r="AO32" s="18"/>
      <c r="AP32">
        <f t="shared" si="2"/>
        <v>7</v>
      </c>
      <c r="AQ32" s="7">
        <f t="shared" si="0"/>
        <v>0</v>
      </c>
      <c r="AR32" t="str">
        <f t="shared" si="1"/>
        <v>ITIS</v>
      </c>
    </row>
    <row r="33" spans="1:44" x14ac:dyDescent="0.2">
      <c r="A33" s="9" t="str">
        <f>'E4-2016'!B33</f>
        <v>CFA EVE</v>
      </c>
      <c r="B33" s="4" t="str">
        <f>'E4-2016'!D33</f>
        <v>0912119J</v>
      </c>
      <c r="C33" s="4" t="str">
        <f>'E4-2016'!E33</f>
        <v>CEVE</v>
      </c>
      <c r="D33" s="4">
        <f>'E4-2016'!G33</f>
        <v>5</v>
      </c>
      <c r="E33" s="4"/>
      <c r="F33" s="16"/>
      <c r="G33" s="17"/>
      <c r="H33" s="18"/>
      <c r="I33" s="18"/>
      <c r="J33" s="16"/>
      <c r="K33" s="17"/>
      <c r="L33" s="18"/>
      <c r="M33" s="18"/>
      <c r="N33" s="16"/>
      <c r="O33" s="17"/>
      <c r="P33" s="27">
        <v>1</v>
      </c>
      <c r="Q33" s="27"/>
      <c r="R33" s="12">
        <v>1</v>
      </c>
      <c r="S33" s="13"/>
      <c r="T33" s="14">
        <v>1</v>
      </c>
      <c r="U33" s="14"/>
      <c r="V33" s="12">
        <v>1</v>
      </c>
      <c r="W33" s="13"/>
      <c r="X33" s="14">
        <v>1</v>
      </c>
      <c r="Y33" s="14"/>
      <c r="Z33" s="5"/>
      <c r="AA33" s="5"/>
      <c r="AB33" s="6"/>
      <c r="AC33" s="6"/>
      <c r="AD33" s="5"/>
      <c r="AE33" s="5"/>
      <c r="AF33" s="6"/>
      <c r="AG33" s="6"/>
      <c r="AH33" s="5"/>
      <c r="AI33" s="5"/>
      <c r="AJ33" s="6"/>
      <c r="AK33" s="6"/>
      <c r="AL33" s="16"/>
      <c r="AM33" s="17"/>
      <c r="AN33" s="18"/>
      <c r="AO33" s="18"/>
      <c r="AP33">
        <f t="shared" si="2"/>
        <v>5</v>
      </c>
      <c r="AQ33" s="7">
        <f t="shared" si="0"/>
        <v>0</v>
      </c>
      <c r="AR33" t="str">
        <f t="shared" si="1"/>
        <v>CFA EVE</v>
      </c>
    </row>
    <row r="34" spans="1:44" x14ac:dyDescent="0.2">
      <c r="A34" s="9" t="str">
        <f>'E4-2016'!B34</f>
        <v>CFA Faculté des métiers</v>
      </c>
      <c r="B34" s="4" t="str">
        <f>'E4-2016'!D34</f>
        <v>0912263R</v>
      </c>
      <c r="C34" s="4" t="str">
        <f>'E4-2016'!E34</f>
        <v>FDM</v>
      </c>
      <c r="D34" s="4">
        <f>'E4-2016'!G34</f>
        <v>4</v>
      </c>
      <c r="E34" s="4"/>
      <c r="F34" s="5">
        <v>1</v>
      </c>
      <c r="G34" s="5"/>
      <c r="H34" s="6">
        <v>1</v>
      </c>
      <c r="I34" s="6"/>
      <c r="J34" s="5">
        <v>1</v>
      </c>
      <c r="K34" s="5"/>
      <c r="L34" s="6">
        <v>1</v>
      </c>
      <c r="M34" s="6"/>
      <c r="N34" s="5"/>
      <c r="O34" s="5"/>
      <c r="P34" s="26"/>
      <c r="Q34" s="26"/>
      <c r="R34" s="16"/>
      <c r="S34" s="17"/>
      <c r="T34" s="18"/>
      <c r="U34" s="18"/>
      <c r="V34" s="16"/>
      <c r="W34" s="17"/>
      <c r="X34" s="18"/>
      <c r="Y34" s="18"/>
      <c r="Z34" s="16"/>
      <c r="AA34" s="17"/>
      <c r="AB34" s="18"/>
      <c r="AC34" s="18"/>
      <c r="AD34" s="5"/>
      <c r="AE34" s="5"/>
      <c r="AF34" s="6"/>
      <c r="AG34" s="6"/>
      <c r="AH34" s="5"/>
      <c r="AI34" s="5"/>
      <c r="AJ34" s="6"/>
      <c r="AK34" s="6"/>
      <c r="AL34" s="24"/>
      <c r="AM34" s="24"/>
      <c r="AN34" s="6"/>
      <c r="AO34" s="6"/>
      <c r="AP34">
        <f t="shared" si="2"/>
        <v>4</v>
      </c>
      <c r="AQ34" s="7">
        <f t="shared" si="0"/>
        <v>0</v>
      </c>
      <c r="AR34" t="str">
        <f t="shared" si="1"/>
        <v>CFA Faculté des métiers</v>
      </c>
    </row>
    <row r="35" spans="1:44" x14ac:dyDescent="0.2">
      <c r="A35" s="9" t="str">
        <f>'E4-2016'!B35</f>
        <v>AFORP</v>
      </c>
      <c r="B35" s="4" t="str">
        <f>'E4-2016'!D35</f>
        <v>0921274K</v>
      </c>
      <c r="C35" s="4" t="str">
        <f>'E4-2016'!E35</f>
        <v>AFOR</v>
      </c>
      <c r="D35" s="4">
        <f>'E4-2016'!G35</f>
        <v>3</v>
      </c>
      <c r="E35" s="4"/>
      <c r="F35" s="16"/>
      <c r="G35" s="17"/>
      <c r="H35" s="18"/>
      <c r="I35" s="18"/>
      <c r="J35" s="16"/>
      <c r="K35" s="17"/>
      <c r="L35" s="18"/>
      <c r="M35" s="18"/>
      <c r="N35" s="16"/>
      <c r="O35" s="17"/>
      <c r="P35" s="27"/>
      <c r="Q35" s="27"/>
      <c r="R35" s="5"/>
      <c r="S35" s="5"/>
      <c r="T35" s="6"/>
      <c r="U35" s="6"/>
      <c r="V35" s="5">
        <v>1</v>
      </c>
      <c r="W35" s="5"/>
      <c r="X35" s="6">
        <v>1</v>
      </c>
      <c r="Y35" s="6"/>
      <c r="Z35" s="5">
        <v>1</v>
      </c>
      <c r="AA35" s="5"/>
      <c r="AB35" s="6"/>
      <c r="AC35" s="6"/>
      <c r="AD35" s="16"/>
      <c r="AE35" s="17"/>
      <c r="AF35" s="18"/>
      <c r="AG35" s="18"/>
      <c r="AH35" s="16"/>
      <c r="AI35" s="17"/>
      <c r="AJ35" s="18"/>
      <c r="AK35" s="18"/>
      <c r="AL35" s="24"/>
      <c r="AM35" s="24"/>
      <c r="AN35" s="6"/>
      <c r="AO35" s="6"/>
      <c r="AP35">
        <f t="shared" si="2"/>
        <v>3</v>
      </c>
      <c r="AQ35" s="7">
        <f t="shared" si="0"/>
        <v>0</v>
      </c>
      <c r="AR35" t="str">
        <f t="shared" si="1"/>
        <v>AFORP</v>
      </c>
    </row>
    <row r="36" spans="1:44" x14ac:dyDescent="0.2">
      <c r="A36" s="9" t="str">
        <f>'E4-2016'!B36</f>
        <v>EPSI</v>
      </c>
      <c r="B36" s="4" t="str">
        <f>'E4-2016'!D36</f>
        <v>0922467G</v>
      </c>
      <c r="C36" s="4" t="str">
        <f>'E4-2016'!E36</f>
        <v>EPSI</v>
      </c>
      <c r="D36" s="4">
        <f>'E4-2016'!G36</f>
        <v>2</v>
      </c>
      <c r="E36" s="4"/>
      <c r="F36" s="16"/>
      <c r="G36" s="17"/>
      <c r="H36" s="18"/>
      <c r="I36" s="18"/>
      <c r="J36" s="16">
        <v>1</v>
      </c>
      <c r="K36" s="17"/>
      <c r="L36" s="18">
        <v>1</v>
      </c>
      <c r="M36" s="18"/>
      <c r="N36" s="16"/>
      <c r="O36" s="17"/>
      <c r="P36" s="27"/>
      <c r="Q36" s="27"/>
      <c r="R36" s="16"/>
      <c r="S36" s="17"/>
      <c r="T36" s="18"/>
      <c r="U36" s="18"/>
      <c r="V36" s="5"/>
      <c r="W36" s="5"/>
      <c r="X36" s="6"/>
      <c r="Y36" s="6"/>
      <c r="Z36" s="5"/>
      <c r="AA36" s="5"/>
      <c r="AB36" s="6"/>
      <c r="AC36" s="6"/>
      <c r="AD36" s="5"/>
      <c r="AE36" s="5"/>
      <c r="AF36" s="6"/>
      <c r="AG36" s="6"/>
      <c r="AH36" s="5"/>
      <c r="AI36" s="5"/>
      <c r="AJ36" s="6"/>
      <c r="AK36" s="6"/>
      <c r="AL36" s="24"/>
      <c r="AM36" s="24"/>
      <c r="AN36" s="6"/>
      <c r="AO36" s="6"/>
      <c r="AP36">
        <f t="shared" si="2"/>
        <v>2</v>
      </c>
      <c r="AQ36" s="7">
        <f t="shared" si="0"/>
        <v>0</v>
      </c>
      <c r="AR36" t="str">
        <f t="shared" si="1"/>
        <v>EPSI</v>
      </c>
    </row>
    <row r="37" spans="1:44" x14ac:dyDescent="0.2">
      <c r="A37" s="9" t="str">
        <f>'E4-2016'!B37</f>
        <v>HITEMA</v>
      </c>
      <c r="B37" s="4" t="str">
        <f>'E4-2016'!D37</f>
        <v>0922614S</v>
      </c>
      <c r="C37" s="4" t="str">
        <f>'E4-2016'!E37</f>
        <v>HITE</v>
      </c>
      <c r="D37" s="4">
        <f>'E4-2016'!G37</f>
        <v>9</v>
      </c>
      <c r="E37" s="4"/>
      <c r="F37" s="5"/>
      <c r="G37" s="5"/>
      <c r="H37" s="6"/>
      <c r="I37" s="6"/>
      <c r="J37" s="5"/>
      <c r="K37" s="5"/>
      <c r="L37" s="6"/>
      <c r="M37" s="6"/>
      <c r="N37" s="16"/>
      <c r="O37" s="17"/>
      <c r="P37" s="27"/>
      <c r="Q37" s="27"/>
      <c r="R37" s="16"/>
      <c r="S37" s="17"/>
      <c r="T37" s="18"/>
      <c r="U37" s="18"/>
      <c r="V37" s="5"/>
      <c r="W37" s="5"/>
      <c r="X37" s="6"/>
      <c r="Y37" s="6"/>
      <c r="Z37" s="16"/>
      <c r="AA37" s="17"/>
      <c r="AB37" s="18">
        <v>2</v>
      </c>
      <c r="AC37" s="18"/>
      <c r="AD37" s="16">
        <v>2</v>
      </c>
      <c r="AE37" s="17"/>
      <c r="AF37" s="18">
        <v>2</v>
      </c>
      <c r="AG37" s="18"/>
      <c r="AH37" s="16">
        <v>2</v>
      </c>
      <c r="AI37" s="17"/>
      <c r="AJ37" s="18">
        <v>1</v>
      </c>
      <c r="AK37" s="18"/>
      <c r="AL37" s="16"/>
      <c r="AM37" s="17"/>
      <c r="AN37" s="18"/>
      <c r="AO37" s="18"/>
      <c r="AP37">
        <f t="shared" si="2"/>
        <v>9</v>
      </c>
      <c r="AQ37" s="7">
        <f t="shared" si="0"/>
        <v>0</v>
      </c>
      <c r="AR37" t="str">
        <f t="shared" ref="AR37:AR45" si="3">A37</f>
        <v>HITEMA</v>
      </c>
    </row>
    <row r="38" spans="1:44" x14ac:dyDescent="0.2">
      <c r="A38" s="9" t="str">
        <f>'E4-2016'!B38</f>
        <v>Ecole Santé et Juridique</v>
      </c>
      <c r="B38" s="4" t="str">
        <f>'E4-2016'!D38</f>
        <v>0922856E</v>
      </c>
      <c r="C38" s="4" t="str">
        <f>'E4-2016'!E38</f>
        <v>ESJ</v>
      </c>
      <c r="D38" s="4">
        <f>'E4-2016'!G38</f>
        <v>5</v>
      </c>
      <c r="E38" s="4"/>
      <c r="F38" s="5"/>
      <c r="G38" s="5"/>
      <c r="H38" s="6"/>
      <c r="I38" s="6"/>
      <c r="J38" s="5"/>
      <c r="K38" s="5"/>
      <c r="L38" s="6">
        <v>1</v>
      </c>
      <c r="M38" s="6"/>
      <c r="N38" s="16">
        <v>1</v>
      </c>
      <c r="O38" s="17"/>
      <c r="P38" s="27">
        <v>1</v>
      </c>
      <c r="Q38" s="27"/>
      <c r="R38" s="16">
        <v>1</v>
      </c>
      <c r="S38" s="17"/>
      <c r="T38" s="18">
        <v>1</v>
      </c>
      <c r="U38" s="18"/>
      <c r="V38" s="5"/>
      <c r="W38" s="5"/>
      <c r="X38" s="6"/>
      <c r="Y38" s="6"/>
      <c r="Z38" s="5"/>
      <c r="AA38" s="5"/>
      <c r="AB38" s="6"/>
      <c r="AC38" s="6"/>
      <c r="AD38" s="5"/>
      <c r="AE38" s="5"/>
      <c r="AF38" s="6"/>
      <c r="AG38" s="6"/>
      <c r="AH38" s="16"/>
      <c r="AI38" s="17"/>
      <c r="AJ38" s="18"/>
      <c r="AK38" s="18"/>
      <c r="AL38" s="16"/>
      <c r="AM38" s="17"/>
      <c r="AN38" s="18"/>
      <c r="AO38" s="18"/>
      <c r="AP38">
        <f t="shared" si="2"/>
        <v>5</v>
      </c>
      <c r="AQ38" s="7">
        <f t="shared" si="0"/>
        <v>0</v>
      </c>
      <c r="AR38" t="str">
        <f t="shared" si="3"/>
        <v>Ecole Santé et Juridique</v>
      </c>
    </row>
    <row r="39" spans="1:44" x14ac:dyDescent="0.2">
      <c r="A39" s="9" t="str">
        <f>'E4-2016'!B39</f>
        <v>IMIE Paris</v>
      </c>
      <c r="B39" s="4" t="str">
        <f>'E4-2016'!D39</f>
        <v>0922863M</v>
      </c>
      <c r="C39" s="4" t="str">
        <f>'E4-2016'!E39</f>
        <v>IMIP</v>
      </c>
      <c r="D39" s="4">
        <f>'E4-2016'!G39</f>
        <v>9</v>
      </c>
      <c r="E39" s="4"/>
      <c r="F39" s="5">
        <v>2</v>
      </c>
      <c r="G39" s="5"/>
      <c r="H39" s="6">
        <v>2</v>
      </c>
      <c r="I39" s="6"/>
      <c r="J39" s="5">
        <v>2</v>
      </c>
      <c r="K39" s="5"/>
      <c r="L39" s="6">
        <v>2</v>
      </c>
      <c r="M39" s="6"/>
      <c r="N39" s="16">
        <v>1</v>
      </c>
      <c r="O39" s="17"/>
      <c r="P39" s="27"/>
      <c r="Q39" s="27"/>
      <c r="R39" s="16"/>
      <c r="S39" s="17"/>
      <c r="T39" s="18"/>
      <c r="U39" s="18"/>
      <c r="V39" s="16"/>
      <c r="W39" s="17"/>
      <c r="X39" s="18"/>
      <c r="Y39" s="18"/>
      <c r="Z39" s="16"/>
      <c r="AA39" s="17"/>
      <c r="AB39" s="18"/>
      <c r="AC39" s="18"/>
      <c r="AD39" s="5"/>
      <c r="AE39" s="5"/>
      <c r="AF39" s="6"/>
      <c r="AG39" s="6"/>
      <c r="AH39" s="5"/>
      <c r="AI39" s="5"/>
      <c r="AJ39" s="6"/>
      <c r="AK39" s="6"/>
      <c r="AL39" s="24"/>
      <c r="AM39" s="24"/>
      <c r="AN39" s="6"/>
      <c r="AO39" s="6"/>
      <c r="AP39">
        <f t="shared" si="2"/>
        <v>9</v>
      </c>
      <c r="AQ39" s="7">
        <f t="shared" si="0"/>
        <v>0</v>
      </c>
      <c r="AR39" t="str">
        <f t="shared" si="3"/>
        <v>IMIE Paris</v>
      </c>
    </row>
    <row r="40" spans="1:44" x14ac:dyDescent="0.2">
      <c r="A40" s="9" t="str">
        <f>'E4-2016'!B40</f>
        <v>Elyon Company</v>
      </c>
      <c r="B40" s="4" t="str">
        <f>'E4-2016'!D40</f>
        <v>0922873Y</v>
      </c>
      <c r="C40" s="4" t="str">
        <f>'E4-2016'!E40</f>
        <v>ELYC</v>
      </c>
      <c r="D40" s="4">
        <f>'E4-2016'!G40</f>
        <v>1</v>
      </c>
      <c r="E40" s="4"/>
      <c r="F40" s="16"/>
      <c r="G40" s="17"/>
      <c r="H40" s="18"/>
      <c r="I40" s="18"/>
      <c r="J40" s="16"/>
      <c r="K40" s="17"/>
      <c r="L40" s="18"/>
      <c r="M40" s="18"/>
      <c r="N40" s="16"/>
      <c r="O40" s="17"/>
      <c r="P40" s="27"/>
      <c r="Q40" s="27"/>
      <c r="R40" s="16"/>
      <c r="S40" s="17"/>
      <c r="T40" s="18"/>
      <c r="U40" s="18"/>
      <c r="V40" s="16"/>
      <c r="W40" s="17"/>
      <c r="X40" s="18"/>
      <c r="Y40" s="18"/>
      <c r="Z40" s="16"/>
      <c r="AA40" s="17"/>
      <c r="AB40" s="18"/>
      <c r="AC40" s="18"/>
      <c r="AD40" s="16"/>
      <c r="AE40" s="17"/>
      <c r="AF40" s="18"/>
      <c r="AG40" s="18"/>
      <c r="AH40" s="16"/>
      <c r="AI40" s="17"/>
      <c r="AJ40" s="18"/>
      <c r="AK40" s="18"/>
      <c r="AL40" s="24"/>
      <c r="AM40" s="24"/>
      <c r="AN40" s="6"/>
      <c r="AO40" s="6"/>
      <c r="AP40">
        <f t="shared" si="2"/>
        <v>0</v>
      </c>
      <c r="AQ40" s="7">
        <f t="shared" si="0"/>
        <v>-1</v>
      </c>
      <c r="AR40" t="str">
        <f t="shared" si="3"/>
        <v>Elyon Company</v>
      </c>
    </row>
    <row r="41" spans="1:44" x14ac:dyDescent="0.2">
      <c r="A41" s="9" t="str">
        <f>'E4-2016'!B41</f>
        <v>CFA AFORP FORMATION</v>
      </c>
      <c r="B41" s="4" t="str">
        <f>'E4-2016'!D41</f>
        <v>0932760V</v>
      </c>
      <c r="C41" s="4" t="str">
        <f>'E4-2016'!E41</f>
        <v>AFF</v>
      </c>
      <c r="D41" s="4">
        <f>'E4-2016'!G41</f>
        <v>2</v>
      </c>
      <c r="E41" s="4"/>
      <c r="F41" s="5">
        <v>1</v>
      </c>
      <c r="G41" s="5"/>
      <c r="H41" s="6">
        <v>1</v>
      </c>
      <c r="I41" s="6"/>
      <c r="J41" s="5"/>
      <c r="K41" s="5"/>
      <c r="L41" s="6"/>
      <c r="M41" s="6"/>
      <c r="N41" s="16"/>
      <c r="O41" s="17"/>
      <c r="P41" s="27"/>
      <c r="Q41" s="27"/>
      <c r="R41" s="16"/>
      <c r="S41" s="17"/>
      <c r="T41" s="18"/>
      <c r="U41" s="18"/>
      <c r="V41" s="5"/>
      <c r="W41" s="5"/>
      <c r="X41" s="6"/>
      <c r="Y41" s="6"/>
      <c r="Z41" s="5"/>
      <c r="AA41" s="5"/>
      <c r="AB41" s="6"/>
      <c r="AC41" s="6"/>
      <c r="AD41" s="16"/>
      <c r="AE41" s="17"/>
      <c r="AF41" s="18"/>
      <c r="AG41" s="18"/>
      <c r="AH41" s="5"/>
      <c r="AI41" s="5"/>
      <c r="AJ41" s="6"/>
      <c r="AK41" s="6"/>
      <c r="AL41" s="24"/>
      <c r="AM41" s="24"/>
      <c r="AN41" s="6"/>
      <c r="AO41" s="6"/>
      <c r="AP41">
        <f t="shared" si="2"/>
        <v>2</v>
      </c>
      <c r="AQ41" s="7">
        <f t="shared" si="0"/>
        <v>0</v>
      </c>
      <c r="AR41" t="str">
        <f t="shared" si="3"/>
        <v>CFA AFORP FORMATION</v>
      </c>
    </row>
    <row r="42" spans="1:44" x14ac:dyDescent="0.2">
      <c r="A42" s="9" t="str">
        <f>'E4-2016'!B42</f>
        <v>Lycée Paul Bert</v>
      </c>
      <c r="B42" s="4" t="str">
        <f>'E4-2016'!D42</f>
        <v>0941355M</v>
      </c>
      <c r="C42" s="4" t="str">
        <f>'E4-2016'!E42</f>
        <v>LPB</v>
      </c>
      <c r="D42" s="4">
        <f>'E4-2016'!G42</f>
        <v>2</v>
      </c>
      <c r="E42" s="4"/>
      <c r="F42" s="5"/>
      <c r="G42" s="5"/>
      <c r="H42" s="6"/>
      <c r="I42" s="6"/>
      <c r="J42" s="5">
        <v>1</v>
      </c>
      <c r="K42" s="5"/>
      <c r="L42" s="6">
        <v>1</v>
      </c>
      <c r="M42" s="6"/>
      <c r="N42" s="16"/>
      <c r="O42" s="17"/>
      <c r="P42" s="27"/>
      <c r="Q42" s="27"/>
      <c r="R42" s="16"/>
      <c r="S42" s="17"/>
      <c r="T42" s="18"/>
      <c r="U42" s="18"/>
      <c r="V42" s="5"/>
      <c r="W42" s="5"/>
      <c r="X42" s="6"/>
      <c r="Y42" s="6"/>
      <c r="Z42" s="5"/>
      <c r="AA42" s="5"/>
      <c r="AB42" s="6"/>
      <c r="AC42" s="6"/>
      <c r="AD42" s="5"/>
      <c r="AE42" s="5"/>
      <c r="AF42" s="6"/>
      <c r="AG42" s="6"/>
      <c r="AH42" s="5"/>
      <c r="AI42" s="5"/>
      <c r="AJ42" s="6"/>
      <c r="AK42" s="6"/>
      <c r="AL42" s="24"/>
      <c r="AM42" s="24"/>
      <c r="AN42" s="6"/>
      <c r="AO42" s="6"/>
      <c r="AP42">
        <f t="shared" si="2"/>
        <v>2</v>
      </c>
      <c r="AQ42" s="7">
        <f t="shared" si="0"/>
        <v>0</v>
      </c>
      <c r="AR42" t="str">
        <f t="shared" si="3"/>
        <v>Lycée Paul Bert</v>
      </c>
    </row>
    <row r="43" spans="1:44" x14ac:dyDescent="0.2">
      <c r="A43" s="9" t="str">
        <f>'E4-2016'!B43</f>
        <v>EFREI</v>
      </c>
      <c r="B43" s="4" t="str">
        <f>'E4-2016'!D43</f>
        <v>0941934S</v>
      </c>
      <c r="C43" s="4" t="str">
        <f>'E4-2016'!E43</f>
        <v>EFRE</v>
      </c>
      <c r="D43" s="4">
        <f>'E4-2016'!G43</f>
        <v>10</v>
      </c>
      <c r="E43" s="4"/>
      <c r="F43" s="5"/>
      <c r="G43" s="5"/>
      <c r="H43" s="6"/>
      <c r="I43" s="6"/>
      <c r="J43" s="5">
        <v>2</v>
      </c>
      <c r="K43" s="5"/>
      <c r="L43" s="6">
        <v>2</v>
      </c>
      <c r="M43" s="6"/>
      <c r="N43" s="16">
        <v>2</v>
      </c>
      <c r="O43" s="17"/>
      <c r="P43" s="27">
        <v>2</v>
      </c>
      <c r="Q43" s="27"/>
      <c r="R43" s="16">
        <v>2</v>
      </c>
      <c r="S43" s="17"/>
      <c r="T43" s="18"/>
      <c r="U43" s="18"/>
      <c r="V43" s="5"/>
      <c r="W43" s="5"/>
      <c r="X43" s="6"/>
      <c r="Y43" s="6"/>
      <c r="Z43" s="5"/>
      <c r="AA43" s="5"/>
      <c r="AB43" s="6"/>
      <c r="AC43" s="6"/>
      <c r="AD43" s="5"/>
      <c r="AE43" s="5"/>
      <c r="AF43" s="6"/>
      <c r="AG43" s="6"/>
      <c r="AH43" s="5"/>
      <c r="AI43" s="5"/>
      <c r="AJ43" s="6"/>
      <c r="AK43" s="6"/>
      <c r="AL43" s="24"/>
      <c r="AM43" s="24"/>
      <c r="AN43" s="6"/>
      <c r="AO43" s="6"/>
      <c r="AP43">
        <f t="shared" si="2"/>
        <v>10</v>
      </c>
      <c r="AQ43" s="7">
        <f t="shared" si="0"/>
        <v>0</v>
      </c>
      <c r="AR43" t="str">
        <f t="shared" si="3"/>
        <v>EFREI</v>
      </c>
    </row>
    <row r="44" spans="1:44" x14ac:dyDescent="0.2">
      <c r="A44" s="9" t="str">
        <f>'E4-2016'!B44</f>
        <v>IEFII</v>
      </c>
      <c r="B44" s="4" t="str">
        <f>'E4-2016'!D44</f>
        <v>0942169X</v>
      </c>
      <c r="C44" s="4" t="str">
        <f>'E4-2016'!E44</f>
        <v>IEFII</v>
      </c>
      <c r="D44" s="4">
        <f>'E4-2016'!G44</f>
        <v>31</v>
      </c>
      <c r="E44" s="4"/>
      <c r="F44" s="5">
        <v>2</v>
      </c>
      <c r="G44" s="5"/>
      <c r="H44" s="6">
        <v>2</v>
      </c>
      <c r="I44" s="6"/>
      <c r="J44" s="5">
        <v>2</v>
      </c>
      <c r="K44" s="5"/>
      <c r="L44" s="6">
        <v>2</v>
      </c>
      <c r="M44" s="6"/>
      <c r="N44" s="16">
        <v>2</v>
      </c>
      <c r="O44" s="17"/>
      <c r="P44" s="27">
        <v>2</v>
      </c>
      <c r="Q44" s="27"/>
      <c r="R44" s="16">
        <v>2</v>
      </c>
      <c r="S44" s="17"/>
      <c r="T44" s="18">
        <v>2</v>
      </c>
      <c r="U44" s="18"/>
      <c r="V44" s="5">
        <v>2</v>
      </c>
      <c r="W44" s="5"/>
      <c r="X44" s="6">
        <v>2</v>
      </c>
      <c r="Y44" s="6"/>
      <c r="Z44" s="5">
        <v>2</v>
      </c>
      <c r="AA44" s="5"/>
      <c r="AB44" s="6">
        <v>2</v>
      </c>
      <c r="AC44" s="6"/>
      <c r="AD44" s="5">
        <v>2</v>
      </c>
      <c r="AE44" s="5"/>
      <c r="AF44" s="6">
        <v>2</v>
      </c>
      <c r="AG44" s="6"/>
      <c r="AH44" s="5">
        <v>2</v>
      </c>
      <c r="AI44" s="5"/>
      <c r="AJ44" s="6">
        <v>1</v>
      </c>
      <c r="AK44" s="6"/>
      <c r="AL44" s="24"/>
      <c r="AM44" s="24"/>
      <c r="AN44" s="6"/>
      <c r="AO44" s="6"/>
      <c r="AP44">
        <f t="shared" si="2"/>
        <v>31</v>
      </c>
      <c r="AQ44" s="7">
        <f t="shared" si="0"/>
        <v>0</v>
      </c>
      <c r="AR44" t="str">
        <f t="shared" si="3"/>
        <v>IEFII</v>
      </c>
    </row>
    <row r="45" spans="1:44" x14ac:dyDescent="0.2">
      <c r="A45" s="9" t="str">
        <f>'E4-2016'!B45</f>
        <v>IFCP</v>
      </c>
      <c r="B45" s="4" t="str">
        <f>'E4-2016'!D45</f>
        <v>0952242W</v>
      </c>
      <c r="C45" s="4" t="str">
        <f>'E4-2016'!E45</f>
        <v>IFCP</v>
      </c>
      <c r="D45" s="4">
        <f>'E4-2016'!G45</f>
        <v>2</v>
      </c>
      <c r="E45" s="4"/>
      <c r="F45" s="5">
        <v>1</v>
      </c>
      <c r="G45" s="5"/>
      <c r="H45" s="6">
        <v>1</v>
      </c>
      <c r="I45" s="6"/>
      <c r="J45" s="5"/>
      <c r="K45" s="5"/>
      <c r="L45" s="6"/>
      <c r="M45" s="6"/>
      <c r="N45" s="16"/>
      <c r="O45" s="17"/>
      <c r="P45" s="27"/>
      <c r="Q45" s="27"/>
      <c r="R45" s="16"/>
      <c r="S45" s="17"/>
      <c r="T45" s="18"/>
      <c r="U45" s="18"/>
      <c r="V45" s="5"/>
      <c r="W45" s="5"/>
      <c r="X45" s="6"/>
      <c r="Y45" s="6"/>
      <c r="Z45" s="5"/>
      <c r="AA45" s="5"/>
      <c r="AB45" s="6"/>
      <c r="AC45" s="6"/>
      <c r="AD45" s="5"/>
      <c r="AE45" s="5"/>
      <c r="AF45" s="6"/>
      <c r="AG45" s="6"/>
      <c r="AH45" s="5"/>
      <c r="AI45" s="5"/>
      <c r="AJ45" s="6"/>
      <c r="AK45" s="6"/>
      <c r="AL45" s="24"/>
      <c r="AM45" s="24"/>
      <c r="AN45" s="6"/>
      <c r="AO45" s="6"/>
      <c r="AP45">
        <f t="shared" si="2"/>
        <v>2</v>
      </c>
      <c r="AQ45" s="7">
        <f t="shared" si="0"/>
        <v>0</v>
      </c>
      <c r="AR45" t="str">
        <f t="shared" si="3"/>
        <v>IFCP</v>
      </c>
    </row>
    <row r="46" spans="1:44" x14ac:dyDescent="0.2">
      <c r="D46">
        <f>SUM(D3:D45)</f>
        <v>300</v>
      </c>
      <c r="F46" s="22">
        <f>SUM(F3:F45)</f>
        <v>18</v>
      </c>
      <c r="G46" s="22"/>
      <c r="H46" s="22">
        <f>SUM(H3:H45)</f>
        <v>19</v>
      </c>
      <c r="I46" s="22"/>
      <c r="J46" s="22">
        <f>SUM(J3:J45)</f>
        <v>20</v>
      </c>
      <c r="K46" s="22"/>
      <c r="L46" s="22">
        <f>SUM(L3:L45)</f>
        <v>19</v>
      </c>
      <c r="M46" s="22"/>
      <c r="N46" s="22">
        <f>SUM(N3:N45)</f>
        <v>17</v>
      </c>
      <c r="O46" s="22"/>
      <c r="P46" s="22">
        <f>SUM(P3:P45)</f>
        <v>19</v>
      </c>
      <c r="Q46" s="22"/>
      <c r="R46" s="22">
        <f>SUM(R3:R45)</f>
        <v>19</v>
      </c>
      <c r="S46" s="22"/>
      <c r="T46" s="22">
        <f>SUM(T3:T45)</f>
        <v>18</v>
      </c>
      <c r="U46" s="22"/>
      <c r="V46" s="22">
        <f>SUM(V3:V45)</f>
        <v>19</v>
      </c>
      <c r="W46" s="22"/>
      <c r="X46" s="22">
        <f>SUM(X3:X45)</f>
        <v>18</v>
      </c>
      <c r="Y46" s="22"/>
      <c r="Z46" s="22">
        <f>SUM(Z3:Z45)</f>
        <v>17</v>
      </c>
      <c r="AA46" s="22"/>
      <c r="AB46" s="22">
        <f>SUM(AB3:AB45)</f>
        <v>18</v>
      </c>
      <c r="AC46" s="22"/>
      <c r="AD46" s="22">
        <f>SUM(AD3:AD45)</f>
        <v>19</v>
      </c>
      <c r="AE46" s="22"/>
      <c r="AF46" s="22">
        <f>SUM(AF3:AF45)</f>
        <v>19</v>
      </c>
      <c r="AG46" s="22"/>
      <c r="AH46" s="22">
        <f>SUM(AH3:AH45)</f>
        <v>20</v>
      </c>
      <c r="AI46" s="22"/>
      <c r="AJ46" s="22">
        <f>SUM(AJ3:AJ45)</f>
        <v>18</v>
      </c>
      <c r="AK46" s="22"/>
      <c r="AL46" s="22">
        <f>SUM(AL3:AL45)</f>
        <v>0</v>
      </c>
      <c r="AM46" s="22"/>
      <c r="AN46" s="22">
        <f>SUM(AN3:AN45)</f>
        <v>0</v>
      </c>
      <c r="AO46" s="22"/>
      <c r="AQ46" s="22" t="s">
        <v>118</v>
      </c>
    </row>
    <row r="47" spans="1:44" x14ac:dyDescent="0.2">
      <c r="D47">
        <f>D46*5</f>
        <v>1500</v>
      </c>
      <c r="AP47">
        <f>SUM(AP3:AP46)</f>
        <v>297</v>
      </c>
    </row>
    <row r="48" spans="1:44" x14ac:dyDescent="0.2">
      <c r="D48">
        <f>SUM(F3:AK45)*2</f>
        <v>594</v>
      </c>
      <c r="AP48">
        <f>AP47*2</f>
        <v>594</v>
      </c>
    </row>
    <row r="50" spans="4:4" x14ac:dyDescent="0.2">
      <c r="D50">
        <f>COUNT(F3:AK45)</f>
        <v>184</v>
      </c>
    </row>
  </sheetData>
  <mergeCells count="18">
    <mergeCell ref="AD1:AE1"/>
    <mergeCell ref="AF1:AG1"/>
    <mergeCell ref="AH1:AI1"/>
    <mergeCell ref="AJ1:AK1"/>
    <mergeCell ref="AN1:AO1"/>
    <mergeCell ref="AL1:AM1"/>
    <mergeCell ref="AB1:AC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</mergeCells>
  <phoneticPr fontId="6" type="noConversion"/>
  <pageMargins left="0.75000000000000011" right="0.75000000000000011" top="1" bottom="1" header="0.5" footer="0.5"/>
  <pageSetup paperSize="8" scale="84" orientation="landscape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D1405"/>
  <sheetViews>
    <sheetView workbookViewId="0"/>
  </sheetViews>
  <sheetFormatPr baseColWidth="10" defaultRowHeight="15" x14ac:dyDescent="0.2"/>
  <cols>
    <col min="1" max="1" width="17.1640625" customWidth="1"/>
  </cols>
  <sheetData>
    <row r="1" spans="1:4" x14ac:dyDescent="0.2">
      <c r="A1" t="s">
        <v>52</v>
      </c>
      <c r="B1" t="s">
        <v>53</v>
      </c>
      <c r="C1" t="s">
        <v>54</v>
      </c>
      <c r="D1" t="s">
        <v>55</v>
      </c>
    </row>
    <row r="2" spans="1:4" x14ac:dyDescent="0.2">
      <c r="A2" t="s">
        <v>97</v>
      </c>
      <c r="B2" s="8" t="s">
        <v>84</v>
      </c>
      <c r="C2">
        <v>1</v>
      </c>
      <c r="D2">
        <v>5</v>
      </c>
    </row>
    <row r="3" spans="1:4" x14ac:dyDescent="0.2">
      <c r="A3" t="s">
        <v>97</v>
      </c>
      <c r="B3" s="2" t="s">
        <v>60</v>
      </c>
      <c r="C3">
        <v>1</v>
      </c>
      <c r="D3">
        <v>5</v>
      </c>
    </row>
    <row r="4" spans="1:4" x14ac:dyDescent="0.2">
      <c r="A4" t="s">
        <v>120</v>
      </c>
      <c r="B4" s="8" t="s">
        <v>85</v>
      </c>
      <c r="C4">
        <v>1</v>
      </c>
      <c r="D4">
        <v>5</v>
      </c>
    </row>
    <row r="5" spans="1:4" x14ac:dyDescent="0.2">
      <c r="A5" t="s">
        <v>120</v>
      </c>
      <c r="B5" s="2" t="s">
        <v>86</v>
      </c>
      <c r="C5">
        <v>1</v>
      </c>
      <c r="D5">
        <v>5</v>
      </c>
    </row>
    <row r="6" spans="1:4" x14ac:dyDescent="0.2">
      <c r="A6" t="s">
        <v>72</v>
      </c>
      <c r="B6" s="8" t="s">
        <v>60</v>
      </c>
      <c r="C6">
        <v>1</v>
      </c>
      <c r="D6">
        <v>5</v>
      </c>
    </row>
    <row r="7" spans="1:4" x14ac:dyDescent="0.2">
      <c r="A7" t="s">
        <v>72</v>
      </c>
      <c r="B7" s="2" t="s">
        <v>44</v>
      </c>
      <c r="C7">
        <v>1</v>
      </c>
      <c r="D7">
        <v>5</v>
      </c>
    </row>
    <row r="8" spans="1:4" x14ac:dyDescent="0.2">
      <c r="A8" t="s">
        <v>72</v>
      </c>
      <c r="B8" s="8" t="s">
        <v>45</v>
      </c>
      <c r="C8">
        <v>1</v>
      </c>
      <c r="D8">
        <v>5</v>
      </c>
    </row>
    <row r="9" spans="1:4" x14ac:dyDescent="0.2">
      <c r="A9" t="s">
        <v>11</v>
      </c>
      <c r="B9" s="2" t="s">
        <v>112</v>
      </c>
      <c r="C9">
        <v>2</v>
      </c>
      <c r="D9">
        <v>10</v>
      </c>
    </row>
    <row r="10" spans="1:4" x14ac:dyDescent="0.2">
      <c r="A10" t="s">
        <v>11</v>
      </c>
      <c r="B10" s="2" t="s">
        <v>46</v>
      </c>
      <c r="C10">
        <v>2</v>
      </c>
      <c r="D10">
        <v>10</v>
      </c>
    </row>
    <row r="11" spans="1:4" x14ac:dyDescent="0.2">
      <c r="A11" t="s">
        <v>11</v>
      </c>
      <c r="B11" s="2" t="s">
        <v>47</v>
      </c>
      <c r="C11">
        <v>2</v>
      </c>
      <c r="D11">
        <v>10</v>
      </c>
    </row>
    <row r="12" spans="1:4" x14ac:dyDescent="0.2">
      <c r="A12" t="s">
        <v>11</v>
      </c>
      <c r="B12" s="2" t="s">
        <v>69</v>
      </c>
      <c r="C12">
        <v>1</v>
      </c>
      <c r="D12">
        <v>5</v>
      </c>
    </row>
    <row r="13" spans="1:4" x14ac:dyDescent="0.2">
      <c r="A13" t="s">
        <v>13</v>
      </c>
      <c r="B13" s="2" t="s">
        <v>48</v>
      </c>
      <c r="C13">
        <v>2</v>
      </c>
      <c r="D13">
        <v>10</v>
      </c>
    </row>
    <row r="14" spans="1:4" x14ac:dyDescent="0.2">
      <c r="A14" t="s">
        <v>13</v>
      </c>
      <c r="B14" s="2" t="s">
        <v>49</v>
      </c>
      <c r="C14">
        <v>2</v>
      </c>
      <c r="D14">
        <v>10</v>
      </c>
    </row>
    <row r="15" spans="1:4" x14ac:dyDescent="0.2">
      <c r="A15" t="s">
        <v>13</v>
      </c>
      <c r="B15" s="2" t="s">
        <v>70</v>
      </c>
      <c r="C15">
        <v>2</v>
      </c>
      <c r="D15">
        <v>10</v>
      </c>
    </row>
    <row r="16" spans="1:4" x14ac:dyDescent="0.2">
      <c r="A16" t="s">
        <v>15</v>
      </c>
      <c r="B16" s="2" t="s">
        <v>70</v>
      </c>
      <c r="C16">
        <v>1</v>
      </c>
      <c r="D16">
        <v>5</v>
      </c>
    </row>
    <row r="17" spans="1:4" x14ac:dyDescent="0.2">
      <c r="A17" t="s">
        <v>15</v>
      </c>
      <c r="B17" s="2" t="s">
        <v>68</v>
      </c>
      <c r="C17">
        <v>1</v>
      </c>
      <c r="D17">
        <v>5</v>
      </c>
    </row>
    <row r="18" spans="1:4" x14ac:dyDescent="0.2">
      <c r="A18" t="s">
        <v>122</v>
      </c>
      <c r="B18" s="8" t="s">
        <v>46</v>
      </c>
      <c r="C18">
        <v>1</v>
      </c>
      <c r="D18">
        <v>5</v>
      </c>
    </row>
    <row r="19" spans="1:4" x14ac:dyDescent="0.2">
      <c r="A19" t="s">
        <v>122</v>
      </c>
      <c r="B19" s="2" t="s">
        <v>47</v>
      </c>
      <c r="C19">
        <v>1</v>
      </c>
      <c r="D19">
        <v>5</v>
      </c>
    </row>
    <row r="20" spans="1:4" x14ac:dyDescent="0.2">
      <c r="A20" t="s">
        <v>122</v>
      </c>
      <c r="B20" s="8" t="s">
        <v>69</v>
      </c>
      <c r="C20">
        <v>1</v>
      </c>
      <c r="D20">
        <v>5</v>
      </c>
    </row>
    <row r="21" spans="1:4" x14ac:dyDescent="0.2">
      <c r="A21" t="s">
        <v>122</v>
      </c>
      <c r="B21" s="2" t="s">
        <v>67</v>
      </c>
      <c r="C21">
        <v>1</v>
      </c>
      <c r="D21">
        <v>5</v>
      </c>
    </row>
    <row r="22" spans="1:4" x14ac:dyDescent="0.2">
      <c r="A22" t="s">
        <v>122</v>
      </c>
      <c r="B22" s="8" t="s">
        <v>61</v>
      </c>
      <c r="C22">
        <v>1</v>
      </c>
      <c r="D22">
        <v>5</v>
      </c>
    </row>
    <row r="23" spans="1:4" x14ac:dyDescent="0.2">
      <c r="A23" t="s">
        <v>17</v>
      </c>
      <c r="B23" s="2" t="s">
        <v>67</v>
      </c>
      <c r="C23">
        <v>1</v>
      </c>
      <c r="D23">
        <v>5</v>
      </c>
    </row>
    <row r="24" spans="1:4" x14ac:dyDescent="0.2">
      <c r="A24" t="s">
        <v>17</v>
      </c>
      <c r="B24" s="8" t="s">
        <v>61</v>
      </c>
      <c r="C24">
        <v>1</v>
      </c>
      <c r="D24">
        <v>5</v>
      </c>
    </row>
    <row r="25" spans="1:4" x14ac:dyDescent="0.2">
      <c r="A25" t="s">
        <v>17</v>
      </c>
      <c r="B25" s="2" t="s">
        <v>48</v>
      </c>
      <c r="C25">
        <v>1</v>
      </c>
      <c r="D25">
        <v>5</v>
      </c>
    </row>
    <row r="26" spans="1:4" x14ac:dyDescent="0.2">
      <c r="A26" t="s">
        <v>17</v>
      </c>
      <c r="B26" s="2" t="s">
        <v>49</v>
      </c>
      <c r="C26">
        <v>1</v>
      </c>
      <c r="D26">
        <v>5</v>
      </c>
    </row>
    <row r="27" spans="1:4" x14ac:dyDescent="0.2">
      <c r="A27" t="s">
        <v>142</v>
      </c>
      <c r="B27" s="2" t="s">
        <v>70</v>
      </c>
      <c r="C27">
        <v>1</v>
      </c>
      <c r="D27">
        <v>5</v>
      </c>
    </row>
    <row r="28" spans="1:4" x14ac:dyDescent="0.2">
      <c r="A28" t="s">
        <v>142</v>
      </c>
      <c r="B28" s="2" t="s">
        <v>68</v>
      </c>
      <c r="C28">
        <v>1</v>
      </c>
      <c r="D28">
        <v>5</v>
      </c>
    </row>
    <row r="29" spans="1:4" x14ac:dyDescent="0.2">
      <c r="A29" t="s">
        <v>100</v>
      </c>
      <c r="B29" s="2" t="s">
        <v>67</v>
      </c>
      <c r="C29">
        <v>2</v>
      </c>
      <c r="D29">
        <v>10</v>
      </c>
    </row>
    <row r="30" spans="1:4" x14ac:dyDescent="0.2">
      <c r="A30" t="s">
        <v>100</v>
      </c>
      <c r="B30" s="2" t="s">
        <v>61</v>
      </c>
      <c r="C30">
        <v>2</v>
      </c>
      <c r="D30">
        <v>10</v>
      </c>
    </row>
    <row r="31" spans="1:4" x14ac:dyDescent="0.2">
      <c r="A31" t="s">
        <v>100</v>
      </c>
      <c r="B31" s="2" t="s">
        <v>48</v>
      </c>
      <c r="C31">
        <v>2</v>
      </c>
      <c r="D31">
        <v>10</v>
      </c>
    </row>
    <row r="32" spans="1:4" x14ac:dyDescent="0.2">
      <c r="A32" t="s">
        <v>100</v>
      </c>
      <c r="B32" s="2" t="s">
        <v>49</v>
      </c>
      <c r="C32">
        <v>2</v>
      </c>
      <c r="D32">
        <v>10</v>
      </c>
    </row>
    <row r="33" spans="1:4" x14ac:dyDescent="0.2">
      <c r="A33" t="s">
        <v>100</v>
      </c>
      <c r="B33" s="2" t="s">
        <v>70</v>
      </c>
      <c r="C33">
        <v>2</v>
      </c>
      <c r="D33">
        <v>10</v>
      </c>
    </row>
    <row r="34" spans="1:4" x14ac:dyDescent="0.2">
      <c r="A34" t="s">
        <v>100</v>
      </c>
      <c r="B34" s="2" t="s">
        <v>68</v>
      </c>
      <c r="C34">
        <v>2</v>
      </c>
      <c r="D34">
        <v>10</v>
      </c>
    </row>
    <row r="35" spans="1:4" x14ac:dyDescent="0.2">
      <c r="A35" t="s">
        <v>107</v>
      </c>
      <c r="B35" s="2" t="s">
        <v>68</v>
      </c>
      <c r="C35">
        <v>1</v>
      </c>
      <c r="D35">
        <v>5</v>
      </c>
    </row>
    <row r="36" spans="1:4" x14ac:dyDescent="0.2">
      <c r="A36" t="s">
        <v>88</v>
      </c>
      <c r="B36" s="8" t="s">
        <v>86</v>
      </c>
      <c r="C36">
        <v>2</v>
      </c>
      <c r="D36">
        <v>10</v>
      </c>
    </row>
    <row r="37" spans="1:4" x14ac:dyDescent="0.2">
      <c r="A37" t="s">
        <v>88</v>
      </c>
      <c r="B37" s="2" t="s">
        <v>112</v>
      </c>
      <c r="C37">
        <v>2</v>
      </c>
      <c r="D37">
        <v>10</v>
      </c>
    </row>
    <row r="38" spans="1:4" x14ac:dyDescent="0.2">
      <c r="A38" t="s">
        <v>88</v>
      </c>
      <c r="B38" s="8" t="s">
        <v>46</v>
      </c>
      <c r="C38">
        <v>2</v>
      </c>
      <c r="D38">
        <v>10</v>
      </c>
    </row>
    <row r="39" spans="1:4" x14ac:dyDescent="0.2">
      <c r="A39" t="s">
        <v>88</v>
      </c>
      <c r="B39" s="2" t="s">
        <v>47</v>
      </c>
      <c r="C39">
        <v>2</v>
      </c>
      <c r="D39">
        <v>10</v>
      </c>
    </row>
    <row r="40" spans="1:4" x14ac:dyDescent="0.2">
      <c r="A40" t="s">
        <v>88</v>
      </c>
      <c r="B40" s="8" t="s">
        <v>69</v>
      </c>
      <c r="C40">
        <v>2</v>
      </c>
      <c r="D40">
        <v>10</v>
      </c>
    </row>
    <row r="41" spans="1:4" x14ac:dyDescent="0.2">
      <c r="A41" t="s">
        <v>88</v>
      </c>
      <c r="B41" s="2" t="s">
        <v>67</v>
      </c>
      <c r="C41">
        <v>2</v>
      </c>
      <c r="D41">
        <v>10</v>
      </c>
    </row>
    <row r="42" spans="1:4" x14ac:dyDescent="0.2">
      <c r="A42" t="s">
        <v>88</v>
      </c>
      <c r="B42" s="8" t="s">
        <v>61</v>
      </c>
      <c r="C42">
        <v>2</v>
      </c>
      <c r="D42">
        <v>10</v>
      </c>
    </row>
    <row r="43" spans="1:4" x14ac:dyDescent="0.2">
      <c r="A43" t="s">
        <v>88</v>
      </c>
      <c r="B43" s="2" t="s">
        <v>48</v>
      </c>
      <c r="C43">
        <v>2</v>
      </c>
      <c r="D43">
        <v>10</v>
      </c>
    </row>
    <row r="44" spans="1:4" x14ac:dyDescent="0.2">
      <c r="A44" t="s">
        <v>65</v>
      </c>
      <c r="B44" s="2" t="s">
        <v>84</v>
      </c>
      <c r="C44">
        <v>3</v>
      </c>
      <c r="D44">
        <v>15</v>
      </c>
    </row>
    <row r="45" spans="1:4" x14ac:dyDescent="0.2">
      <c r="A45" t="s">
        <v>65</v>
      </c>
      <c r="B45" s="2" t="s">
        <v>60</v>
      </c>
      <c r="C45">
        <v>3</v>
      </c>
      <c r="D45">
        <v>15</v>
      </c>
    </row>
    <row r="46" spans="1:4" x14ac:dyDescent="0.2">
      <c r="A46" t="s">
        <v>65</v>
      </c>
      <c r="B46" s="2" t="s">
        <v>44</v>
      </c>
      <c r="C46">
        <v>3</v>
      </c>
      <c r="D46">
        <v>15</v>
      </c>
    </row>
    <row r="47" spans="1:4" x14ac:dyDescent="0.2">
      <c r="A47" t="s">
        <v>65</v>
      </c>
      <c r="B47" s="2" t="s">
        <v>45</v>
      </c>
      <c r="C47">
        <v>3</v>
      </c>
      <c r="D47">
        <v>15</v>
      </c>
    </row>
    <row r="48" spans="1:4" x14ac:dyDescent="0.2">
      <c r="A48" t="s">
        <v>65</v>
      </c>
      <c r="B48" s="2" t="s">
        <v>85</v>
      </c>
      <c r="C48">
        <v>2</v>
      </c>
      <c r="D48">
        <v>10</v>
      </c>
    </row>
    <row r="49" spans="1:4" x14ac:dyDescent="0.2">
      <c r="A49" t="s">
        <v>65</v>
      </c>
      <c r="B49" s="2" t="s">
        <v>86</v>
      </c>
      <c r="C49">
        <v>2</v>
      </c>
      <c r="D49">
        <v>10</v>
      </c>
    </row>
    <row r="50" spans="1:4" x14ac:dyDescent="0.2">
      <c r="A50" t="s">
        <v>65</v>
      </c>
      <c r="B50" s="2" t="s">
        <v>112</v>
      </c>
      <c r="C50">
        <v>2</v>
      </c>
      <c r="D50">
        <v>10</v>
      </c>
    </row>
    <row r="51" spans="1:4" x14ac:dyDescent="0.2">
      <c r="A51" t="s">
        <v>65</v>
      </c>
      <c r="B51" s="2" t="s">
        <v>46</v>
      </c>
      <c r="C51">
        <v>2</v>
      </c>
      <c r="D51">
        <v>10</v>
      </c>
    </row>
    <row r="52" spans="1:4" x14ac:dyDescent="0.2">
      <c r="A52" t="s">
        <v>65</v>
      </c>
      <c r="B52" s="8" t="s">
        <v>47</v>
      </c>
      <c r="C52">
        <v>2</v>
      </c>
      <c r="D52">
        <v>10</v>
      </c>
    </row>
    <row r="53" spans="1:4" x14ac:dyDescent="0.2">
      <c r="A53" t="s">
        <v>65</v>
      </c>
      <c r="B53" s="2" t="s">
        <v>69</v>
      </c>
      <c r="C53">
        <v>2</v>
      </c>
      <c r="D53">
        <v>10</v>
      </c>
    </row>
    <row r="54" spans="1:4" x14ac:dyDescent="0.2">
      <c r="A54" t="s">
        <v>65</v>
      </c>
      <c r="B54" s="8" t="s">
        <v>67</v>
      </c>
      <c r="C54">
        <v>2</v>
      </c>
      <c r="D54">
        <v>10</v>
      </c>
    </row>
    <row r="55" spans="1:4" x14ac:dyDescent="0.2">
      <c r="A55" t="s">
        <v>65</v>
      </c>
      <c r="B55" s="2" t="s">
        <v>61</v>
      </c>
      <c r="C55">
        <v>2</v>
      </c>
      <c r="D55">
        <v>10</v>
      </c>
    </row>
    <row r="56" spans="1:4" x14ac:dyDescent="0.2">
      <c r="A56" t="s">
        <v>65</v>
      </c>
      <c r="B56" s="8" t="s">
        <v>48</v>
      </c>
      <c r="C56">
        <v>2</v>
      </c>
      <c r="D56">
        <v>10</v>
      </c>
    </row>
    <row r="57" spans="1:4" x14ac:dyDescent="0.2">
      <c r="A57" t="s">
        <v>65</v>
      </c>
      <c r="B57" s="2" t="s">
        <v>49</v>
      </c>
      <c r="C57">
        <v>2</v>
      </c>
      <c r="D57">
        <v>10</v>
      </c>
    </row>
    <row r="58" spans="1:4" x14ac:dyDescent="0.2">
      <c r="A58" t="s">
        <v>65</v>
      </c>
      <c r="B58" s="8" t="s">
        <v>70</v>
      </c>
      <c r="C58">
        <v>2</v>
      </c>
      <c r="D58">
        <v>10</v>
      </c>
    </row>
    <row r="59" spans="1:4" x14ac:dyDescent="0.2">
      <c r="A59" t="s">
        <v>65</v>
      </c>
      <c r="B59" s="2" t="s">
        <v>68</v>
      </c>
      <c r="C59">
        <v>2</v>
      </c>
      <c r="D59">
        <v>10</v>
      </c>
    </row>
    <row r="60" spans="1:4" x14ac:dyDescent="0.2">
      <c r="A60" t="s">
        <v>113</v>
      </c>
      <c r="B60" s="2" t="s">
        <v>49</v>
      </c>
      <c r="C60">
        <v>2</v>
      </c>
      <c r="D60">
        <v>10</v>
      </c>
    </row>
    <row r="61" spans="1:4" x14ac:dyDescent="0.2">
      <c r="A61" t="s">
        <v>113</v>
      </c>
      <c r="B61" s="2" t="s">
        <v>70</v>
      </c>
      <c r="C61">
        <v>2</v>
      </c>
      <c r="D61">
        <v>10</v>
      </c>
    </row>
    <row r="62" spans="1:4" x14ac:dyDescent="0.2">
      <c r="A62" t="s">
        <v>113</v>
      </c>
      <c r="B62" s="2" t="s">
        <v>68</v>
      </c>
      <c r="C62">
        <v>2</v>
      </c>
      <c r="D62">
        <v>10</v>
      </c>
    </row>
    <row r="63" spans="1:4" x14ac:dyDescent="0.2">
      <c r="A63" t="s">
        <v>146</v>
      </c>
      <c r="B63" s="2" t="s">
        <v>49</v>
      </c>
      <c r="C63">
        <v>1</v>
      </c>
      <c r="D63">
        <v>5</v>
      </c>
    </row>
    <row r="64" spans="1:4" x14ac:dyDescent="0.2">
      <c r="A64" t="s">
        <v>146</v>
      </c>
      <c r="B64" s="8" t="s">
        <v>70</v>
      </c>
      <c r="C64">
        <v>1</v>
      </c>
      <c r="D64">
        <v>5</v>
      </c>
    </row>
    <row r="65" spans="1:4" x14ac:dyDescent="0.2">
      <c r="A65" t="s">
        <v>146</v>
      </c>
      <c r="B65" s="2" t="s">
        <v>68</v>
      </c>
      <c r="C65">
        <v>1</v>
      </c>
      <c r="D65">
        <v>5</v>
      </c>
    </row>
    <row r="66" spans="1:4" x14ac:dyDescent="0.2">
      <c r="A66" t="s">
        <v>136</v>
      </c>
      <c r="B66" s="8" t="s">
        <v>47</v>
      </c>
      <c r="C66">
        <v>1</v>
      </c>
      <c r="D66">
        <v>5</v>
      </c>
    </row>
    <row r="67" spans="1:4" x14ac:dyDescent="0.2">
      <c r="A67" t="s">
        <v>136</v>
      </c>
      <c r="B67" s="2" t="s">
        <v>69</v>
      </c>
      <c r="C67">
        <v>2</v>
      </c>
      <c r="D67">
        <v>10</v>
      </c>
    </row>
    <row r="68" spans="1:4" x14ac:dyDescent="0.2">
      <c r="A68" t="s">
        <v>136</v>
      </c>
      <c r="B68" s="8" t="s">
        <v>67</v>
      </c>
      <c r="C68">
        <v>2</v>
      </c>
      <c r="D68">
        <v>10</v>
      </c>
    </row>
    <row r="69" spans="1:4" x14ac:dyDescent="0.2">
      <c r="A69" t="s">
        <v>136</v>
      </c>
      <c r="B69" s="2" t="s">
        <v>61</v>
      </c>
      <c r="C69">
        <v>2</v>
      </c>
      <c r="D69">
        <v>10</v>
      </c>
    </row>
    <row r="70" spans="1:4" x14ac:dyDescent="0.2">
      <c r="A70" t="s">
        <v>136</v>
      </c>
      <c r="B70" s="8" t="s">
        <v>48</v>
      </c>
      <c r="C70">
        <v>2</v>
      </c>
      <c r="D70">
        <v>10</v>
      </c>
    </row>
    <row r="71" spans="1:4" x14ac:dyDescent="0.2">
      <c r="A71" t="s">
        <v>103</v>
      </c>
      <c r="B71" s="2" t="s">
        <v>84</v>
      </c>
      <c r="C71">
        <v>2</v>
      </c>
      <c r="D71">
        <v>10</v>
      </c>
    </row>
    <row r="72" spans="1:4" x14ac:dyDescent="0.2">
      <c r="A72" t="s">
        <v>103</v>
      </c>
      <c r="B72" s="2" t="s">
        <v>60</v>
      </c>
      <c r="C72">
        <v>2</v>
      </c>
      <c r="D72">
        <v>10</v>
      </c>
    </row>
    <row r="73" spans="1:4" x14ac:dyDescent="0.2">
      <c r="A73" t="s">
        <v>103</v>
      </c>
      <c r="B73" s="2" t="s">
        <v>44</v>
      </c>
      <c r="C73">
        <v>2</v>
      </c>
      <c r="D73">
        <v>10</v>
      </c>
    </row>
    <row r="74" spans="1:4" x14ac:dyDescent="0.2">
      <c r="A74" t="s">
        <v>103</v>
      </c>
      <c r="B74" s="2" t="s">
        <v>45</v>
      </c>
      <c r="C74">
        <v>2</v>
      </c>
      <c r="D74">
        <v>10</v>
      </c>
    </row>
    <row r="75" spans="1:4" x14ac:dyDescent="0.2">
      <c r="A75" t="s">
        <v>103</v>
      </c>
      <c r="B75" s="2" t="s">
        <v>85</v>
      </c>
      <c r="C75">
        <v>1</v>
      </c>
      <c r="D75">
        <v>5</v>
      </c>
    </row>
    <row r="76" spans="1:4" x14ac:dyDescent="0.2">
      <c r="A76" t="s">
        <v>123</v>
      </c>
      <c r="B76" s="2" t="s">
        <v>85</v>
      </c>
      <c r="C76">
        <v>1</v>
      </c>
      <c r="D76">
        <v>5</v>
      </c>
    </row>
    <row r="77" spans="1:4" x14ac:dyDescent="0.2">
      <c r="A77" t="s">
        <v>123</v>
      </c>
      <c r="B77" s="2" t="s">
        <v>49</v>
      </c>
      <c r="C77">
        <v>1</v>
      </c>
      <c r="D77">
        <v>5</v>
      </c>
    </row>
    <row r="78" spans="1:4" x14ac:dyDescent="0.2">
      <c r="A78" t="s">
        <v>123</v>
      </c>
      <c r="B78" s="8" t="s">
        <v>70</v>
      </c>
      <c r="C78">
        <v>1</v>
      </c>
      <c r="D78">
        <v>5</v>
      </c>
    </row>
    <row r="79" spans="1:4" x14ac:dyDescent="0.2">
      <c r="A79" t="s">
        <v>123</v>
      </c>
      <c r="B79" s="2" t="s">
        <v>68</v>
      </c>
      <c r="C79">
        <v>1</v>
      </c>
      <c r="D79">
        <v>5</v>
      </c>
    </row>
    <row r="80" spans="1:4" x14ac:dyDescent="0.2">
      <c r="A80" t="s">
        <v>158</v>
      </c>
      <c r="B80" s="8" t="s">
        <v>68</v>
      </c>
      <c r="C80">
        <v>1</v>
      </c>
      <c r="D80">
        <v>5</v>
      </c>
    </row>
    <row r="81" spans="1:4" x14ac:dyDescent="0.2">
      <c r="A81" t="s">
        <v>124</v>
      </c>
      <c r="B81" s="2" t="s">
        <v>85</v>
      </c>
      <c r="C81">
        <v>1</v>
      </c>
      <c r="D81">
        <v>5</v>
      </c>
    </row>
    <row r="82" spans="1:4" x14ac:dyDescent="0.2">
      <c r="A82" t="s">
        <v>124</v>
      </c>
      <c r="B82" s="8" t="s">
        <v>86</v>
      </c>
      <c r="C82">
        <v>1</v>
      </c>
      <c r="D82">
        <v>5</v>
      </c>
    </row>
    <row r="83" spans="1:4" x14ac:dyDescent="0.2">
      <c r="A83" t="s">
        <v>124</v>
      </c>
      <c r="B83" s="2" t="s">
        <v>112</v>
      </c>
      <c r="C83">
        <v>1</v>
      </c>
      <c r="D83">
        <v>5</v>
      </c>
    </row>
    <row r="84" spans="1:4" x14ac:dyDescent="0.2">
      <c r="A84" t="s">
        <v>149</v>
      </c>
      <c r="B84" s="8" t="s">
        <v>46</v>
      </c>
      <c r="C84">
        <v>1</v>
      </c>
      <c r="D84">
        <v>5</v>
      </c>
    </row>
    <row r="85" spans="1:4" x14ac:dyDescent="0.2">
      <c r="A85" t="s">
        <v>149</v>
      </c>
      <c r="B85" s="2" t="s">
        <v>47</v>
      </c>
      <c r="C85">
        <v>1</v>
      </c>
      <c r="D85">
        <v>5</v>
      </c>
    </row>
    <row r="86" spans="1:4" x14ac:dyDescent="0.2">
      <c r="A86" t="s">
        <v>149</v>
      </c>
      <c r="B86" s="2" t="s">
        <v>69</v>
      </c>
      <c r="C86">
        <v>1</v>
      </c>
      <c r="D86">
        <v>5</v>
      </c>
    </row>
    <row r="87" spans="1:4" x14ac:dyDescent="0.2">
      <c r="A87" t="s">
        <v>21</v>
      </c>
      <c r="B87" s="2" t="s">
        <v>84</v>
      </c>
      <c r="C87">
        <v>1</v>
      </c>
      <c r="D87">
        <v>5</v>
      </c>
    </row>
    <row r="88" spans="1:4" x14ac:dyDescent="0.2">
      <c r="A88" t="s">
        <v>21</v>
      </c>
      <c r="B88" s="2" t="s">
        <v>60</v>
      </c>
      <c r="C88">
        <v>1</v>
      </c>
      <c r="D88">
        <v>5</v>
      </c>
    </row>
    <row r="89" spans="1:4" x14ac:dyDescent="0.2">
      <c r="A89" t="s">
        <v>21</v>
      </c>
      <c r="B89" s="2" t="s">
        <v>44</v>
      </c>
      <c r="C89">
        <v>1</v>
      </c>
      <c r="D89">
        <v>5</v>
      </c>
    </row>
    <row r="90" spans="1:4" x14ac:dyDescent="0.2">
      <c r="A90" t="s">
        <v>21</v>
      </c>
      <c r="B90" s="2" t="s">
        <v>45</v>
      </c>
      <c r="C90">
        <v>1</v>
      </c>
      <c r="D90">
        <v>5</v>
      </c>
    </row>
    <row r="91" spans="1:4" x14ac:dyDescent="0.2">
      <c r="A91" t="s">
        <v>56</v>
      </c>
      <c r="B91" s="2" t="s">
        <v>85</v>
      </c>
      <c r="C91">
        <v>2</v>
      </c>
      <c r="D91">
        <v>10</v>
      </c>
    </row>
    <row r="92" spans="1:4" x14ac:dyDescent="0.2">
      <c r="A92" t="s">
        <v>56</v>
      </c>
      <c r="B92" s="8" t="s">
        <v>86</v>
      </c>
      <c r="C92">
        <v>2</v>
      </c>
      <c r="D92">
        <v>10</v>
      </c>
    </row>
    <row r="93" spans="1:4" x14ac:dyDescent="0.2">
      <c r="A93" t="s">
        <v>56</v>
      </c>
      <c r="B93" s="2" t="s">
        <v>112</v>
      </c>
      <c r="C93">
        <v>2</v>
      </c>
      <c r="D93">
        <v>10</v>
      </c>
    </row>
    <row r="94" spans="1:4" x14ac:dyDescent="0.2">
      <c r="A94" t="s">
        <v>56</v>
      </c>
      <c r="B94" s="8" t="s">
        <v>46</v>
      </c>
      <c r="C94">
        <v>2</v>
      </c>
      <c r="D94">
        <v>10</v>
      </c>
    </row>
    <row r="95" spans="1:4" x14ac:dyDescent="0.2">
      <c r="A95" t="s">
        <v>56</v>
      </c>
      <c r="B95" s="2" t="s">
        <v>47</v>
      </c>
      <c r="C95">
        <v>2</v>
      </c>
      <c r="D95">
        <v>10</v>
      </c>
    </row>
    <row r="96" spans="1:4" x14ac:dyDescent="0.2">
      <c r="A96" t="s">
        <v>56</v>
      </c>
      <c r="B96" s="8" t="s">
        <v>69</v>
      </c>
      <c r="C96">
        <v>2</v>
      </c>
      <c r="D96">
        <v>10</v>
      </c>
    </row>
    <row r="97" spans="1:4" x14ac:dyDescent="0.2">
      <c r="A97" t="s">
        <v>56</v>
      </c>
      <c r="B97" s="2" t="s">
        <v>67</v>
      </c>
      <c r="C97">
        <v>2</v>
      </c>
      <c r="D97">
        <v>10</v>
      </c>
    </row>
    <row r="98" spans="1:4" x14ac:dyDescent="0.2">
      <c r="A98" t="s">
        <v>56</v>
      </c>
      <c r="B98" s="2" t="s">
        <v>61</v>
      </c>
      <c r="C98">
        <v>2</v>
      </c>
      <c r="D98">
        <v>10</v>
      </c>
    </row>
    <row r="99" spans="1:4" x14ac:dyDescent="0.2">
      <c r="A99" t="s">
        <v>56</v>
      </c>
      <c r="B99" s="2" t="s">
        <v>48</v>
      </c>
      <c r="C99">
        <v>2</v>
      </c>
      <c r="D99">
        <v>10</v>
      </c>
    </row>
    <row r="100" spans="1:4" x14ac:dyDescent="0.2">
      <c r="A100" t="s">
        <v>56</v>
      </c>
      <c r="B100" s="8" t="s">
        <v>49</v>
      </c>
      <c r="C100">
        <v>2</v>
      </c>
      <c r="D100">
        <v>10</v>
      </c>
    </row>
    <row r="101" spans="1:4" x14ac:dyDescent="0.2">
      <c r="A101" t="s">
        <v>56</v>
      </c>
      <c r="B101" s="2" t="s">
        <v>70</v>
      </c>
      <c r="C101">
        <v>2</v>
      </c>
      <c r="D101">
        <v>10</v>
      </c>
    </row>
    <row r="102" spans="1:4" x14ac:dyDescent="0.2">
      <c r="A102" t="s">
        <v>56</v>
      </c>
      <c r="B102" s="2" t="s">
        <v>68</v>
      </c>
      <c r="C102">
        <v>2</v>
      </c>
      <c r="D102">
        <v>10</v>
      </c>
    </row>
    <row r="103" spans="1:4" x14ac:dyDescent="0.2">
      <c r="A103" t="s">
        <v>164</v>
      </c>
      <c r="B103" s="2" t="s">
        <v>85</v>
      </c>
      <c r="C103">
        <v>1</v>
      </c>
      <c r="D103">
        <v>5</v>
      </c>
    </row>
    <row r="104" spans="1:4" x14ac:dyDescent="0.2">
      <c r="A104" t="s">
        <v>164</v>
      </c>
      <c r="B104" s="2" t="s">
        <v>86</v>
      </c>
      <c r="C104">
        <v>1</v>
      </c>
      <c r="D104">
        <v>5</v>
      </c>
    </row>
    <row r="105" spans="1:4" x14ac:dyDescent="0.2">
      <c r="A105" t="s">
        <v>109</v>
      </c>
      <c r="B105" s="2" t="s">
        <v>84</v>
      </c>
      <c r="C105">
        <v>2</v>
      </c>
      <c r="D105">
        <v>10</v>
      </c>
    </row>
    <row r="106" spans="1:4" x14ac:dyDescent="0.2">
      <c r="A106" t="s">
        <v>109</v>
      </c>
      <c r="B106" s="2" t="s">
        <v>60</v>
      </c>
      <c r="C106">
        <v>2</v>
      </c>
      <c r="D106">
        <v>10</v>
      </c>
    </row>
    <row r="107" spans="1:4" x14ac:dyDescent="0.2">
      <c r="A107" t="s">
        <v>109</v>
      </c>
      <c r="B107" s="2" t="s">
        <v>44</v>
      </c>
      <c r="C107">
        <v>2</v>
      </c>
      <c r="D107">
        <v>10</v>
      </c>
    </row>
    <row r="108" spans="1:4" x14ac:dyDescent="0.2">
      <c r="A108" t="s">
        <v>109</v>
      </c>
      <c r="B108" s="2" t="s">
        <v>45</v>
      </c>
      <c r="C108">
        <v>1</v>
      </c>
      <c r="D108">
        <v>5</v>
      </c>
    </row>
    <row r="109" spans="1:4" x14ac:dyDescent="0.2">
      <c r="A109" t="s">
        <v>126</v>
      </c>
      <c r="B109" s="2" t="s">
        <v>86</v>
      </c>
      <c r="C109">
        <v>2</v>
      </c>
      <c r="D109">
        <v>10</v>
      </c>
    </row>
    <row r="110" spans="1:4" x14ac:dyDescent="0.2">
      <c r="A110" t="s">
        <v>126</v>
      </c>
      <c r="B110" s="8" t="s">
        <v>112</v>
      </c>
      <c r="C110">
        <v>2</v>
      </c>
      <c r="D110">
        <v>10</v>
      </c>
    </row>
    <row r="111" spans="1:4" x14ac:dyDescent="0.2">
      <c r="A111" t="s">
        <v>126</v>
      </c>
      <c r="B111" s="2" t="s">
        <v>46</v>
      </c>
      <c r="C111">
        <v>2</v>
      </c>
      <c r="D111">
        <v>10</v>
      </c>
    </row>
    <row r="112" spans="1:4" x14ac:dyDescent="0.2">
      <c r="A112" t="s">
        <v>126</v>
      </c>
      <c r="B112" s="8" t="s">
        <v>47</v>
      </c>
      <c r="C112">
        <v>2</v>
      </c>
      <c r="D112">
        <v>10</v>
      </c>
    </row>
    <row r="113" spans="1:4" x14ac:dyDescent="0.2">
      <c r="A113" t="s">
        <v>126</v>
      </c>
      <c r="B113" s="2" t="s">
        <v>69</v>
      </c>
      <c r="C113">
        <v>1</v>
      </c>
      <c r="D113">
        <v>5</v>
      </c>
    </row>
    <row r="114" spans="1:4" x14ac:dyDescent="0.2">
      <c r="A114" t="s">
        <v>83</v>
      </c>
      <c r="B114" s="8" t="s">
        <v>85</v>
      </c>
      <c r="C114">
        <v>2</v>
      </c>
      <c r="D114">
        <v>10</v>
      </c>
    </row>
    <row r="115" spans="1:4" x14ac:dyDescent="0.2">
      <c r="A115" t="s">
        <v>83</v>
      </c>
      <c r="B115" s="2" t="s">
        <v>86</v>
      </c>
      <c r="C115">
        <v>2</v>
      </c>
      <c r="D115">
        <v>10</v>
      </c>
    </row>
    <row r="116" spans="1:4" x14ac:dyDescent="0.2">
      <c r="A116" t="s">
        <v>83</v>
      </c>
      <c r="B116" s="8" t="s">
        <v>112</v>
      </c>
      <c r="C116">
        <v>2</v>
      </c>
      <c r="D116">
        <v>10</v>
      </c>
    </row>
    <row r="117" spans="1:4" x14ac:dyDescent="0.2">
      <c r="A117" t="s">
        <v>83</v>
      </c>
      <c r="B117" s="2" t="s">
        <v>46</v>
      </c>
      <c r="C117">
        <v>2</v>
      </c>
      <c r="D117">
        <v>10</v>
      </c>
    </row>
    <row r="118" spans="1:4" x14ac:dyDescent="0.2">
      <c r="A118" t="s">
        <v>83</v>
      </c>
      <c r="B118" s="2" t="s">
        <v>47</v>
      </c>
      <c r="C118">
        <v>2</v>
      </c>
      <c r="D118">
        <v>10</v>
      </c>
    </row>
    <row r="119" spans="1:4" x14ac:dyDescent="0.2">
      <c r="A119" t="s">
        <v>83</v>
      </c>
      <c r="B119" s="2" t="s">
        <v>69</v>
      </c>
      <c r="C119">
        <v>2</v>
      </c>
      <c r="D119">
        <v>10</v>
      </c>
    </row>
    <row r="120" spans="1:4" x14ac:dyDescent="0.2">
      <c r="A120" t="s">
        <v>83</v>
      </c>
      <c r="B120" s="2" t="s">
        <v>67</v>
      </c>
      <c r="C120">
        <v>2</v>
      </c>
      <c r="D120">
        <v>10</v>
      </c>
    </row>
    <row r="121" spans="1:4" x14ac:dyDescent="0.2">
      <c r="A121" t="s">
        <v>83</v>
      </c>
      <c r="B121" s="2" t="s">
        <v>61</v>
      </c>
      <c r="C121">
        <v>2</v>
      </c>
      <c r="D121">
        <v>10</v>
      </c>
    </row>
    <row r="122" spans="1:4" x14ac:dyDescent="0.2">
      <c r="A122" t="s">
        <v>83</v>
      </c>
      <c r="B122" s="2" t="s">
        <v>48</v>
      </c>
      <c r="C122">
        <v>2</v>
      </c>
      <c r="D122">
        <v>10</v>
      </c>
    </row>
    <row r="123" spans="1:4" x14ac:dyDescent="0.2">
      <c r="A123" t="s">
        <v>83</v>
      </c>
      <c r="B123" s="2" t="s">
        <v>49</v>
      </c>
      <c r="C123">
        <v>2</v>
      </c>
      <c r="D123">
        <v>10</v>
      </c>
    </row>
    <row r="124" spans="1:4" x14ac:dyDescent="0.2">
      <c r="A124" t="s">
        <v>83</v>
      </c>
      <c r="B124" s="2" t="s">
        <v>70</v>
      </c>
      <c r="C124">
        <v>2</v>
      </c>
      <c r="D124">
        <v>10</v>
      </c>
    </row>
    <row r="125" spans="1:4" x14ac:dyDescent="0.2">
      <c r="A125" t="s">
        <v>83</v>
      </c>
      <c r="B125" s="2" t="s">
        <v>68</v>
      </c>
      <c r="C125">
        <v>2</v>
      </c>
      <c r="D125">
        <v>10</v>
      </c>
    </row>
    <row r="126" spans="1:4" x14ac:dyDescent="0.2">
      <c r="A126" t="s">
        <v>27</v>
      </c>
      <c r="B126" s="8" t="s">
        <v>84</v>
      </c>
      <c r="C126">
        <v>2</v>
      </c>
      <c r="D126">
        <v>10</v>
      </c>
    </row>
    <row r="127" spans="1:4" x14ac:dyDescent="0.2">
      <c r="A127" t="s">
        <v>27</v>
      </c>
      <c r="B127" s="2" t="s">
        <v>60</v>
      </c>
      <c r="C127">
        <v>2</v>
      </c>
      <c r="D127">
        <v>10</v>
      </c>
    </row>
    <row r="128" spans="1:4" x14ac:dyDescent="0.2">
      <c r="A128" t="s">
        <v>27</v>
      </c>
      <c r="B128" s="8" t="s">
        <v>44</v>
      </c>
      <c r="C128">
        <v>2</v>
      </c>
      <c r="D128">
        <v>10</v>
      </c>
    </row>
    <row r="129" spans="1:4" x14ac:dyDescent="0.2">
      <c r="A129" t="s">
        <v>27</v>
      </c>
      <c r="B129" s="2" t="s">
        <v>45</v>
      </c>
      <c r="C129">
        <v>1</v>
      </c>
      <c r="D129">
        <v>5</v>
      </c>
    </row>
    <row r="130" spans="1:4" x14ac:dyDescent="0.2">
      <c r="A130" t="s">
        <v>111</v>
      </c>
      <c r="B130" s="2" t="s">
        <v>86</v>
      </c>
      <c r="C130">
        <v>1</v>
      </c>
      <c r="D130">
        <v>5</v>
      </c>
    </row>
    <row r="131" spans="1:4" x14ac:dyDescent="0.2">
      <c r="A131" t="s">
        <v>111</v>
      </c>
      <c r="B131" s="2" t="s">
        <v>112</v>
      </c>
      <c r="C131">
        <v>1</v>
      </c>
      <c r="D131">
        <v>5</v>
      </c>
    </row>
    <row r="132" spans="1:4" x14ac:dyDescent="0.2">
      <c r="A132" t="s">
        <v>111</v>
      </c>
      <c r="B132" s="8" t="s">
        <v>46</v>
      </c>
      <c r="C132">
        <v>1</v>
      </c>
      <c r="D132">
        <v>5</v>
      </c>
    </row>
    <row r="133" spans="1:4" x14ac:dyDescent="0.2">
      <c r="A133" t="s">
        <v>111</v>
      </c>
      <c r="B133" s="2" t="s">
        <v>47</v>
      </c>
      <c r="C133">
        <v>1</v>
      </c>
      <c r="D133">
        <v>5</v>
      </c>
    </row>
    <row r="134" spans="1:4" x14ac:dyDescent="0.2">
      <c r="A134" t="s">
        <v>111</v>
      </c>
      <c r="B134" s="8" t="s">
        <v>69</v>
      </c>
      <c r="C134">
        <v>1</v>
      </c>
      <c r="D134">
        <v>5</v>
      </c>
    </row>
    <row r="135" spans="1:4" x14ac:dyDescent="0.2">
      <c r="A135" t="s">
        <v>153</v>
      </c>
      <c r="B135" s="2" t="s">
        <v>84</v>
      </c>
      <c r="C135">
        <v>1</v>
      </c>
      <c r="D135">
        <v>5</v>
      </c>
    </row>
    <row r="136" spans="1:4" x14ac:dyDescent="0.2">
      <c r="A136" t="s">
        <v>153</v>
      </c>
      <c r="B136" s="2" t="s">
        <v>60</v>
      </c>
      <c r="C136">
        <v>1</v>
      </c>
      <c r="D136">
        <v>5</v>
      </c>
    </row>
    <row r="137" spans="1:4" x14ac:dyDescent="0.2">
      <c r="A137" t="s">
        <v>153</v>
      </c>
      <c r="B137" s="2" t="s">
        <v>44</v>
      </c>
      <c r="C137">
        <v>1</v>
      </c>
      <c r="D137">
        <v>5</v>
      </c>
    </row>
    <row r="138" spans="1:4" x14ac:dyDescent="0.2">
      <c r="A138" t="s">
        <v>153</v>
      </c>
      <c r="B138" s="2" t="s">
        <v>45</v>
      </c>
      <c r="C138">
        <v>1</v>
      </c>
      <c r="D138">
        <v>5</v>
      </c>
    </row>
    <row r="139" spans="1:4" x14ac:dyDescent="0.2">
      <c r="A139" t="s">
        <v>33</v>
      </c>
      <c r="B139" s="2" t="s">
        <v>47</v>
      </c>
      <c r="C139">
        <v>1</v>
      </c>
      <c r="D139">
        <v>5</v>
      </c>
    </row>
    <row r="140" spans="1:4" x14ac:dyDescent="0.2">
      <c r="A140" t="s">
        <v>33</v>
      </c>
      <c r="B140" s="8" t="s">
        <v>69</v>
      </c>
      <c r="C140">
        <v>1</v>
      </c>
      <c r="D140">
        <v>5</v>
      </c>
    </row>
    <row r="141" spans="1:4" x14ac:dyDescent="0.2">
      <c r="A141" t="s">
        <v>33</v>
      </c>
      <c r="B141" s="2" t="s">
        <v>67</v>
      </c>
      <c r="C141">
        <v>1</v>
      </c>
      <c r="D141">
        <v>5</v>
      </c>
    </row>
    <row r="142" spans="1:4" x14ac:dyDescent="0.2">
      <c r="A142" t="s">
        <v>37</v>
      </c>
      <c r="B142" s="2" t="s">
        <v>44</v>
      </c>
      <c r="C142">
        <v>1</v>
      </c>
      <c r="D142">
        <v>5</v>
      </c>
    </row>
    <row r="143" spans="1:4" x14ac:dyDescent="0.2">
      <c r="A143" t="s">
        <v>37</v>
      </c>
      <c r="B143" s="2" t="s">
        <v>45</v>
      </c>
      <c r="C143">
        <v>1</v>
      </c>
      <c r="D143">
        <v>5</v>
      </c>
    </row>
    <row r="144" spans="1:4" x14ac:dyDescent="0.2">
      <c r="A144" t="s">
        <v>39</v>
      </c>
      <c r="B144" s="2" t="s">
        <v>61</v>
      </c>
      <c r="C144">
        <v>2</v>
      </c>
      <c r="D144">
        <v>10</v>
      </c>
    </row>
    <row r="145" spans="1:4" x14ac:dyDescent="0.2">
      <c r="A145" t="s">
        <v>39</v>
      </c>
      <c r="B145" s="2" t="s">
        <v>48</v>
      </c>
      <c r="C145">
        <v>2</v>
      </c>
      <c r="D145">
        <v>10</v>
      </c>
    </row>
    <row r="146" spans="1:4" x14ac:dyDescent="0.2">
      <c r="A146" t="s">
        <v>39</v>
      </c>
      <c r="B146" s="8" t="s">
        <v>49</v>
      </c>
      <c r="C146">
        <v>2</v>
      </c>
      <c r="D146">
        <v>10</v>
      </c>
    </row>
    <row r="147" spans="1:4" x14ac:dyDescent="0.2">
      <c r="A147" t="s">
        <v>39</v>
      </c>
      <c r="B147" s="2" t="s">
        <v>70</v>
      </c>
      <c r="C147">
        <v>2</v>
      </c>
      <c r="D147">
        <v>10</v>
      </c>
    </row>
    <row r="148" spans="1:4" x14ac:dyDescent="0.2">
      <c r="A148" t="s">
        <v>39</v>
      </c>
      <c r="B148" s="8" t="s">
        <v>68</v>
      </c>
      <c r="C148">
        <v>1</v>
      </c>
      <c r="D148">
        <v>5</v>
      </c>
    </row>
    <row r="149" spans="1:4" x14ac:dyDescent="0.2">
      <c r="A149" t="s">
        <v>128</v>
      </c>
      <c r="B149" s="2" t="s">
        <v>45</v>
      </c>
      <c r="C149">
        <v>1</v>
      </c>
      <c r="D149">
        <v>5</v>
      </c>
    </row>
    <row r="150" spans="1:4" x14ac:dyDescent="0.2">
      <c r="A150" t="s">
        <v>128</v>
      </c>
      <c r="B150" s="8" t="s">
        <v>85</v>
      </c>
      <c r="C150">
        <v>1</v>
      </c>
      <c r="D150">
        <v>5</v>
      </c>
    </row>
    <row r="151" spans="1:4" x14ac:dyDescent="0.2">
      <c r="A151" t="s">
        <v>128</v>
      </c>
      <c r="B151" s="2" t="s">
        <v>86</v>
      </c>
      <c r="C151">
        <v>1</v>
      </c>
      <c r="D151">
        <v>5</v>
      </c>
    </row>
    <row r="152" spans="1:4" x14ac:dyDescent="0.2">
      <c r="A152" t="s">
        <v>128</v>
      </c>
      <c r="B152" s="2" t="s">
        <v>112</v>
      </c>
      <c r="C152">
        <v>1</v>
      </c>
      <c r="D152">
        <v>5</v>
      </c>
    </row>
    <row r="153" spans="1:4" x14ac:dyDescent="0.2">
      <c r="A153" t="s">
        <v>128</v>
      </c>
      <c r="B153" s="2" t="s">
        <v>46</v>
      </c>
      <c r="C153">
        <v>1</v>
      </c>
      <c r="D153">
        <v>5</v>
      </c>
    </row>
    <row r="154" spans="1:4" x14ac:dyDescent="0.2">
      <c r="A154" t="s">
        <v>131</v>
      </c>
      <c r="B154" s="2" t="s">
        <v>84</v>
      </c>
      <c r="C154">
        <v>2</v>
      </c>
      <c r="D154">
        <v>10</v>
      </c>
    </row>
    <row r="155" spans="1:4" x14ac:dyDescent="0.2">
      <c r="A155" t="s">
        <v>131</v>
      </c>
      <c r="B155" s="2" t="s">
        <v>60</v>
      </c>
      <c r="C155">
        <v>2</v>
      </c>
      <c r="D155">
        <v>10</v>
      </c>
    </row>
    <row r="156" spans="1:4" x14ac:dyDescent="0.2">
      <c r="A156" t="s">
        <v>131</v>
      </c>
      <c r="B156" s="2" t="s">
        <v>44</v>
      </c>
      <c r="C156">
        <v>2</v>
      </c>
      <c r="D156">
        <v>10</v>
      </c>
    </row>
    <row r="157" spans="1:4" x14ac:dyDescent="0.2">
      <c r="A157" t="s">
        <v>131</v>
      </c>
      <c r="B157" s="2" t="s">
        <v>45</v>
      </c>
      <c r="C157">
        <v>2</v>
      </c>
      <c r="D157">
        <v>10</v>
      </c>
    </row>
    <row r="158" spans="1:4" x14ac:dyDescent="0.2">
      <c r="A158" t="s">
        <v>131</v>
      </c>
      <c r="B158" s="8" t="s">
        <v>85</v>
      </c>
      <c r="C158">
        <v>1</v>
      </c>
      <c r="D158">
        <v>5</v>
      </c>
    </row>
    <row r="159" spans="1:4" x14ac:dyDescent="0.2">
      <c r="A159" t="s">
        <v>154</v>
      </c>
      <c r="B159" s="2" t="s">
        <v>84</v>
      </c>
      <c r="C159">
        <v>1</v>
      </c>
      <c r="D159">
        <v>5</v>
      </c>
    </row>
    <row r="160" spans="1:4" x14ac:dyDescent="0.2">
      <c r="A160" t="s">
        <v>154</v>
      </c>
      <c r="B160" s="8" t="s">
        <v>60</v>
      </c>
      <c r="C160">
        <v>1</v>
      </c>
      <c r="D160">
        <v>5</v>
      </c>
    </row>
    <row r="161" spans="1:4" x14ac:dyDescent="0.2">
      <c r="A161" t="s">
        <v>133</v>
      </c>
      <c r="B161" s="2" t="s">
        <v>44</v>
      </c>
      <c r="C161">
        <v>1</v>
      </c>
      <c r="D161">
        <v>5</v>
      </c>
    </row>
    <row r="162" spans="1:4" x14ac:dyDescent="0.2">
      <c r="A162" t="s">
        <v>133</v>
      </c>
      <c r="B162" s="8" t="s">
        <v>45</v>
      </c>
      <c r="C162">
        <v>1</v>
      </c>
      <c r="D162">
        <v>5</v>
      </c>
    </row>
    <row r="163" spans="1:4" x14ac:dyDescent="0.2">
      <c r="A163" t="s">
        <v>94</v>
      </c>
      <c r="B163" s="2" t="s">
        <v>44</v>
      </c>
      <c r="C163">
        <v>2</v>
      </c>
      <c r="D163">
        <v>10</v>
      </c>
    </row>
    <row r="164" spans="1:4" x14ac:dyDescent="0.2">
      <c r="A164" t="s">
        <v>94</v>
      </c>
      <c r="B164" s="2" t="s">
        <v>45</v>
      </c>
      <c r="C164">
        <v>2</v>
      </c>
      <c r="D164">
        <v>10</v>
      </c>
    </row>
    <row r="165" spans="1:4" x14ac:dyDescent="0.2">
      <c r="A165" t="s">
        <v>94</v>
      </c>
      <c r="B165" s="2" t="s">
        <v>85</v>
      </c>
      <c r="C165">
        <v>2</v>
      </c>
      <c r="D165">
        <v>10</v>
      </c>
    </row>
    <row r="166" spans="1:4" x14ac:dyDescent="0.2">
      <c r="A166" t="s">
        <v>94</v>
      </c>
      <c r="B166" s="2" t="s">
        <v>86</v>
      </c>
      <c r="C166">
        <v>2</v>
      </c>
      <c r="D166">
        <v>10</v>
      </c>
    </row>
    <row r="167" spans="1:4" x14ac:dyDescent="0.2">
      <c r="A167" t="s">
        <v>94</v>
      </c>
      <c r="B167" s="2" t="s">
        <v>112</v>
      </c>
      <c r="C167">
        <v>2</v>
      </c>
      <c r="D167">
        <v>10</v>
      </c>
    </row>
    <row r="168" spans="1:4" x14ac:dyDescent="0.2">
      <c r="A168" t="s">
        <v>134</v>
      </c>
      <c r="B168" s="2" t="s">
        <v>84</v>
      </c>
      <c r="C168">
        <v>2</v>
      </c>
      <c r="D168">
        <v>10</v>
      </c>
    </row>
    <row r="169" spans="1:4" x14ac:dyDescent="0.2">
      <c r="A169" t="s">
        <v>134</v>
      </c>
      <c r="B169" s="2" t="s">
        <v>60</v>
      </c>
      <c r="C169">
        <v>2</v>
      </c>
      <c r="D169">
        <v>10</v>
      </c>
    </row>
    <row r="170" spans="1:4" x14ac:dyDescent="0.2">
      <c r="A170" t="s">
        <v>134</v>
      </c>
      <c r="B170" s="2" t="s">
        <v>44</v>
      </c>
      <c r="C170">
        <v>2</v>
      </c>
      <c r="D170">
        <v>10</v>
      </c>
    </row>
    <row r="171" spans="1:4" x14ac:dyDescent="0.2">
      <c r="A171" t="s">
        <v>134</v>
      </c>
      <c r="B171" s="2" t="s">
        <v>45</v>
      </c>
      <c r="C171">
        <v>2</v>
      </c>
      <c r="D171">
        <v>10</v>
      </c>
    </row>
    <row r="172" spans="1:4" x14ac:dyDescent="0.2">
      <c r="A172" t="s">
        <v>134</v>
      </c>
      <c r="B172" s="2" t="s">
        <v>85</v>
      </c>
      <c r="C172">
        <v>2</v>
      </c>
      <c r="D172">
        <v>10</v>
      </c>
    </row>
    <row r="173" spans="1:4" x14ac:dyDescent="0.2">
      <c r="A173" t="s">
        <v>134</v>
      </c>
      <c r="B173" s="2" t="s">
        <v>86</v>
      </c>
      <c r="C173">
        <v>2</v>
      </c>
      <c r="D173">
        <v>10</v>
      </c>
    </row>
    <row r="174" spans="1:4" x14ac:dyDescent="0.2">
      <c r="A174" t="s">
        <v>134</v>
      </c>
      <c r="B174" s="2" t="s">
        <v>112</v>
      </c>
      <c r="C174">
        <v>2</v>
      </c>
      <c r="D174">
        <v>10</v>
      </c>
    </row>
    <row r="175" spans="1:4" x14ac:dyDescent="0.2">
      <c r="A175" t="s">
        <v>134</v>
      </c>
      <c r="B175" s="2" t="s">
        <v>46</v>
      </c>
      <c r="C175">
        <v>2</v>
      </c>
      <c r="D175">
        <v>10</v>
      </c>
    </row>
    <row r="176" spans="1:4" x14ac:dyDescent="0.2">
      <c r="A176" t="s">
        <v>134</v>
      </c>
      <c r="B176" s="2" t="s">
        <v>47</v>
      </c>
      <c r="C176">
        <v>2</v>
      </c>
      <c r="D176">
        <v>10</v>
      </c>
    </row>
    <row r="177" spans="1:4" x14ac:dyDescent="0.2">
      <c r="A177" t="s">
        <v>134</v>
      </c>
      <c r="B177" s="2" t="s">
        <v>69</v>
      </c>
      <c r="C177">
        <v>2</v>
      </c>
      <c r="D177">
        <v>10</v>
      </c>
    </row>
    <row r="178" spans="1:4" x14ac:dyDescent="0.2">
      <c r="A178" t="s">
        <v>134</v>
      </c>
      <c r="B178" s="8" t="s">
        <v>67</v>
      </c>
      <c r="C178">
        <v>2</v>
      </c>
      <c r="D178">
        <v>10</v>
      </c>
    </row>
    <row r="179" spans="1:4" x14ac:dyDescent="0.2">
      <c r="A179" t="s">
        <v>134</v>
      </c>
      <c r="B179" s="2" t="s">
        <v>61</v>
      </c>
      <c r="C179">
        <v>2</v>
      </c>
      <c r="D179">
        <v>10</v>
      </c>
    </row>
    <row r="180" spans="1:4" x14ac:dyDescent="0.2">
      <c r="A180" t="s">
        <v>134</v>
      </c>
      <c r="B180" s="8" t="s">
        <v>48</v>
      </c>
      <c r="C180">
        <v>2</v>
      </c>
      <c r="D180">
        <v>10</v>
      </c>
    </row>
    <row r="181" spans="1:4" x14ac:dyDescent="0.2">
      <c r="A181" t="s">
        <v>134</v>
      </c>
      <c r="B181" s="2" t="s">
        <v>49</v>
      </c>
      <c r="C181">
        <v>2</v>
      </c>
      <c r="D181">
        <v>10</v>
      </c>
    </row>
    <row r="182" spans="1:4" x14ac:dyDescent="0.2">
      <c r="A182" t="s">
        <v>134</v>
      </c>
      <c r="B182" s="8" t="s">
        <v>70</v>
      </c>
      <c r="C182">
        <v>2</v>
      </c>
      <c r="D182">
        <v>10</v>
      </c>
    </row>
    <row r="183" spans="1:4" x14ac:dyDescent="0.2">
      <c r="A183" t="s">
        <v>134</v>
      </c>
      <c r="B183" s="2" t="s">
        <v>68</v>
      </c>
      <c r="C183">
        <v>1</v>
      </c>
      <c r="D183">
        <v>5</v>
      </c>
    </row>
    <row r="184" spans="1:4" x14ac:dyDescent="0.2">
      <c r="A184" t="s">
        <v>135</v>
      </c>
      <c r="B184" s="8" t="s">
        <v>84</v>
      </c>
      <c r="C184">
        <v>1</v>
      </c>
      <c r="D184">
        <v>5</v>
      </c>
    </row>
    <row r="185" spans="1:4" x14ac:dyDescent="0.2">
      <c r="A185" t="s">
        <v>135</v>
      </c>
      <c r="B185" s="2" t="s">
        <v>60</v>
      </c>
      <c r="C185">
        <v>1</v>
      </c>
      <c r="D185">
        <v>5</v>
      </c>
    </row>
    <row r="186" spans="1:4" x14ac:dyDescent="0.2">
      <c r="B186" s="2"/>
    </row>
    <row r="187" spans="1:4" x14ac:dyDescent="0.2">
      <c r="B187" s="2"/>
    </row>
    <row r="188" spans="1:4" x14ac:dyDescent="0.2">
      <c r="B188" s="8"/>
    </row>
    <row r="189" spans="1:4" x14ac:dyDescent="0.2">
      <c r="B189" s="2"/>
    </row>
    <row r="190" spans="1:4" x14ac:dyDescent="0.2">
      <c r="B190" s="8"/>
    </row>
    <row r="191" spans="1:4" x14ac:dyDescent="0.2">
      <c r="B191" s="2"/>
    </row>
    <row r="192" spans="1:4" x14ac:dyDescent="0.2">
      <c r="B192" s="8"/>
    </row>
    <row r="193" spans="2:2" x14ac:dyDescent="0.2">
      <c r="B193" s="2"/>
    </row>
    <row r="194" spans="2:2" x14ac:dyDescent="0.2">
      <c r="B194" s="8"/>
    </row>
    <row r="195" spans="2:2" x14ac:dyDescent="0.2">
      <c r="B195" s="2"/>
    </row>
    <row r="196" spans="2:2" x14ac:dyDescent="0.2">
      <c r="B196" s="2"/>
    </row>
    <row r="197" spans="2:2" x14ac:dyDescent="0.2">
      <c r="B197" s="2"/>
    </row>
    <row r="198" spans="2:2" x14ac:dyDescent="0.2">
      <c r="B198" s="2"/>
    </row>
    <row r="199" spans="2:2" x14ac:dyDescent="0.2">
      <c r="B199" s="2"/>
    </row>
    <row r="200" spans="2:2" x14ac:dyDescent="0.2">
      <c r="B200" s="2"/>
    </row>
    <row r="201" spans="2:2" x14ac:dyDescent="0.2">
      <c r="B201" s="2"/>
    </row>
    <row r="202" spans="2:2" x14ac:dyDescent="0.2">
      <c r="B202" s="8"/>
    </row>
    <row r="203" spans="2:2" x14ac:dyDescent="0.2">
      <c r="B203" s="2"/>
    </row>
    <row r="204" spans="2:2" x14ac:dyDescent="0.2">
      <c r="B204" s="8"/>
    </row>
    <row r="205" spans="2:2" x14ac:dyDescent="0.2">
      <c r="B205" s="2"/>
    </row>
    <row r="206" spans="2:2" x14ac:dyDescent="0.2">
      <c r="B206" s="2"/>
    </row>
    <row r="207" spans="2:2" x14ac:dyDescent="0.2">
      <c r="B207" s="2"/>
    </row>
    <row r="208" spans="2:2" x14ac:dyDescent="0.2">
      <c r="B208" s="8"/>
    </row>
    <row r="209" spans="2:2" x14ac:dyDescent="0.2">
      <c r="B209" s="2"/>
    </row>
    <row r="210" spans="2:2" x14ac:dyDescent="0.2">
      <c r="B210" s="8"/>
    </row>
    <row r="211" spans="2:2" x14ac:dyDescent="0.2">
      <c r="B211" s="2"/>
    </row>
    <row r="212" spans="2:2" x14ac:dyDescent="0.2">
      <c r="B212" s="2"/>
    </row>
    <row r="213" spans="2:2" x14ac:dyDescent="0.2">
      <c r="B213" s="2"/>
    </row>
    <row r="214" spans="2:2" x14ac:dyDescent="0.2">
      <c r="B214" s="2"/>
    </row>
    <row r="215" spans="2:2" x14ac:dyDescent="0.2">
      <c r="B215" s="2"/>
    </row>
    <row r="216" spans="2:2" x14ac:dyDescent="0.2">
      <c r="B216" s="8"/>
    </row>
    <row r="217" spans="2:2" x14ac:dyDescent="0.2">
      <c r="B217" s="2"/>
    </row>
    <row r="218" spans="2:2" x14ac:dyDescent="0.2">
      <c r="B218" s="8"/>
    </row>
    <row r="219" spans="2:2" x14ac:dyDescent="0.2">
      <c r="B219" s="2"/>
    </row>
    <row r="220" spans="2:2" x14ac:dyDescent="0.2">
      <c r="B220" s="8"/>
    </row>
    <row r="221" spans="2:2" x14ac:dyDescent="0.2">
      <c r="B221" s="2"/>
    </row>
    <row r="222" spans="2:2" x14ac:dyDescent="0.2">
      <c r="B222" s="2"/>
    </row>
    <row r="223" spans="2:2" x14ac:dyDescent="0.2">
      <c r="B223" s="2"/>
    </row>
    <row r="224" spans="2:2" x14ac:dyDescent="0.2">
      <c r="B224" s="2"/>
    </row>
    <row r="225" spans="2:2" x14ac:dyDescent="0.2">
      <c r="B225" s="2"/>
    </row>
    <row r="226" spans="2:2" x14ac:dyDescent="0.2">
      <c r="B226" s="2"/>
    </row>
    <row r="227" spans="2:2" x14ac:dyDescent="0.2">
      <c r="B227" s="2"/>
    </row>
    <row r="228" spans="2:2" x14ac:dyDescent="0.2">
      <c r="B228" s="2"/>
    </row>
    <row r="229" spans="2:2" x14ac:dyDescent="0.2">
      <c r="B229" s="2"/>
    </row>
    <row r="230" spans="2:2" x14ac:dyDescent="0.2">
      <c r="B230" s="2"/>
    </row>
    <row r="231" spans="2:2" x14ac:dyDescent="0.2">
      <c r="B231" s="2"/>
    </row>
    <row r="232" spans="2:2" x14ac:dyDescent="0.2">
      <c r="B232" s="2"/>
    </row>
    <row r="233" spans="2:2" x14ac:dyDescent="0.2">
      <c r="B233" s="2"/>
    </row>
    <row r="234" spans="2:2" x14ac:dyDescent="0.2">
      <c r="B234" s="2"/>
    </row>
    <row r="235" spans="2:2" x14ac:dyDescent="0.2">
      <c r="B235" s="2"/>
    </row>
    <row r="236" spans="2:2" x14ac:dyDescent="0.2">
      <c r="B236" s="2"/>
    </row>
    <row r="237" spans="2:2" x14ac:dyDescent="0.2">
      <c r="B237" s="2"/>
    </row>
    <row r="238" spans="2:2" x14ac:dyDescent="0.2">
      <c r="B238" s="2"/>
    </row>
    <row r="239" spans="2:2" x14ac:dyDescent="0.2">
      <c r="B239" s="2"/>
    </row>
    <row r="240" spans="2:2" x14ac:dyDescent="0.2">
      <c r="B240" s="2"/>
    </row>
    <row r="241" spans="2:2" x14ac:dyDescent="0.2">
      <c r="B241" s="2"/>
    </row>
    <row r="242" spans="2:2" x14ac:dyDescent="0.2">
      <c r="B242" s="2"/>
    </row>
    <row r="243" spans="2:2" x14ac:dyDescent="0.2">
      <c r="B243" s="2"/>
    </row>
    <row r="244" spans="2:2" x14ac:dyDescent="0.2">
      <c r="B244" s="2"/>
    </row>
    <row r="245" spans="2:2" x14ac:dyDescent="0.2">
      <c r="B245" s="2"/>
    </row>
    <row r="246" spans="2:2" x14ac:dyDescent="0.2">
      <c r="B246" s="2"/>
    </row>
    <row r="247" spans="2:2" x14ac:dyDescent="0.2">
      <c r="B247" s="2"/>
    </row>
    <row r="248" spans="2:2" x14ac:dyDescent="0.2">
      <c r="B248" s="2"/>
    </row>
    <row r="249" spans="2:2" x14ac:dyDescent="0.2">
      <c r="B249" s="2"/>
    </row>
    <row r="250" spans="2:2" x14ac:dyDescent="0.2">
      <c r="B250" s="2"/>
    </row>
    <row r="251" spans="2:2" x14ac:dyDescent="0.2">
      <c r="B251" s="2"/>
    </row>
    <row r="252" spans="2:2" x14ac:dyDescent="0.2">
      <c r="B252" s="2"/>
    </row>
    <row r="253" spans="2:2" x14ac:dyDescent="0.2">
      <c r="B253" s="2"/>
    </row>
    <row r="254" spans="2:2" x14ac:dyDescent="0.2">
      <c r="B254" s="2"/>
    </row>
    <row r="255" spans="2:2" x14ac:dyDescent="0.2">
      <c r="B255" s="2"/>
    </row>
    <row r="256" spans="2:2" x14ac:dyDescent="0.2">
      <c r="B256" s="2"/>
    </row>
    <row r="257" spans="2:2" x14ac:dyDescent="0.2">
      <c r="B257" s="2"/>
    </row>
    <row r="258" spans="2:2" x14ac:dyDescent="0.2">
      <c r="B258" s="2"/>
    </row>
    <row r="259" spans="2:2" x14ac:dyDescent="0.2">
      <c r="B259" s="2"/>
    </row>
    <row r="260" spans="2:2" x14ac:dyDescent="0.2">
      <c r="B260" s="2"/>
    </row>
    <row r="261" spans="2:2" x14ac:dyDescent="0.2">
      <c r="B261" s="2"/>
    </row>
    <row r="262" spans="2:2" x14ac:dyDescent="0.2">
      <c r="B262" s="2"/>
    </row>
    <row r="263" spans="2:2" x14ac:dyDescent="0.2">
      <c r="B263" s="2"/>
    </row>
    <row r="264" spans="2:2" x14ac:dyDescent="0.2">
      <c r="B264" s="2"/>
    </row>
    <row r="265" spans="2:2" x14ac:dyDescent="0.2">
      <c r="B265" s="2"/>
    </row>
    <row r="266" spans="2:2" x14ac:dyDescent="0.2">
      <c r="B266" s="2"/>
    </row>
    <row r="267" spans="2:2" x14ac:dyDescent="0.2">
      <c r="B267" s="2"/>
    </row>
    <row r="268" spans="2:2" x14ac:dyDescent="0.2">
      <c r="B268" s="2"/>
    </row>
    <row r="269" spans="2:2" x14ac:dyDescent="0.2">
      <c r="B269" s="2"/>
    </row>
    <row r="270" spans="2:2" x14ac:dyDescent="0.2">
      <c r="B270" s="2"/>
    </row>
    <row r="271" spans="2:2" x14ac:dyDescent="0.2">
      <c r="B271" s="2"/>
    </row>
    <row r="272" spans="2:2" x14ac:dyDescent="0.2">
      <c r="B272" s="2"/>
    </row>
    <row r="273" spans="2:2" x14ac:dyDescent="0.2">
      <c r="B273" s="2"/>
    </row>
    <row r="274" spans="2:2" x14ac:dyDescent="0.2">
      <c r="B274" s="2"/>
    </row>
    <row r="275" spans="2:2" x14ac:dyDescent="0.2">
      <c r="B275" s="2"/>
    </row>
    <row r="276" spans="2:2" x14ac:dyDescent="0.2">
      <c r="B276" s="2"/>
    </row>
    <row r="277" spans="2:2" x14ac:dyDescent="0.2">
      <c r="B277" s="2"/>
    </row>
    <row r="278" spans="2:2" x14ac:dyDescent="0.2">
      <c r="B278" s="2"/>
    </row>
    <row r="279" spans="2:2" x14ac:dyDescent="0.2">
      <c r="B279" s="2"/>
    </row>
    <row r="280" spans="2:2" x14ac:dyDescent="0.2">
      <c r="B280" s="2"/>
    </row>
    <row r="281" spans="2:2" x14ac:dyDescent="0.2">
      <c r="B281" s="2"/>
    </row>
    <row r="282" spans="2:2" x14ac:dyDescent="0.2">
      <c r="B282" s="2"/>
    </row>
    <row r="283" spans="2:2" x14ac:dyDescent="0.2">
      <c r="B283" s="2"/>
    </row>
    <row r="284" spans="2:2" x14ac:dyDescent="0.2">
      <c r="B284" s="2"/>
    </row>
    <row r="285" spans="2:2" x14ac:dyDescent="0.2">
      <c r="B285" s="2"/>
    </row>
    <row r="286" spans="2:2" x14ac:dyDescent="0.2">
      <c r="B286" s="2"/>
    </row>
    <row r="287" spans="2:2" x14ac:dyDescent="0.2">
      <c r="B287" s="2"/>
    </row>
    <row r="288" spans="2:2" x14ac:dyDescent="0.2">
      <c r="B288" s="2"/>
    </row>
    <row r="289" spans="2:2" x14ac:dyDescent="0.2">
      <c r="B289" s="2"/>
    </row>
    <row r="290" spans="2:2" x14ac:dyDescent="0.2">
      <c r="B290" s="2"/>
    </row>
    <row r="291" spans="2:2" x14ac:dyDescent="0.2">
      <c r="B291" s="2"/>
    </row>
    <row r="292" spans="2:2" x14ac:dyDescent="0.2">
      <c r="B292" s="2"/>
    </row>
    <row r="293" spans="2:2" x14ac:dyDescent="0.2">
      <c r="B293" s="2"/>
    </row>
    <row r="294" spans="2:2" x14ac:dyDescent="0.2">
      <c r="B294" s="2"/>
    </row>
    <row r="295" spans="2:2" x14ac:dyDescent="0.2">
      <c r="B295" s="2"/>
    </row>
    <row r="296" spans="2:2" x14ac:dyDescent="0.2">
      <c r="B296" s="2"/>
    </row>
    <row r="297" spans="2:2" x14ac:dyDescent="0.2">
      <c r="B297" s="2"/>
    </row>
    <row r="298" spans="2:2" x14ac:dyDescent="0.2">
      <c r="B298" s="2"/>
    </row>
    <row r="299" spans="2:2" x14ac:dyDescent="0.2">
      <c r="B299" s="2"/>
    </row>
    <row r="300" spans="2:2" x14ac:dyDescent="0.2">
      <c r="B300" s="2"/>
    </row>
    <row r="301" spans="2:2" x14ac:dyDescent="0.2">
      <c r="B301" s="2"/>
    </row>
    <row r="302" spans="2:2" x14ac:dyDescent="0.2">
      <c r="B302" s="2"/>
    </row>
    <row r="303" spans="2:2" x14ac:dyDescent="0.2">
      <c r="B303" s="2"/>
    </row>
    <row r="304" spans="2:2" x14ac:dyDescent="0.2">
      <c r="B304" s="2"/>
    </row>
    <row r="305" spans="2:2" x14ac:dyDescent="0.2">
      <c r="B305" s="2"/>
    </row>
    <row r="306" spans="2:2" x14ac:dyDescent="0.2">
      <c r="B306" s="2"/>
    </row>
    <row r="307" spans="2:2" x14ac:dyDescent="0.2">
      <c r="B307" s="2"/>
    </row>
    <row r="308" spans="2:2" x14ac:dyDescent="0.2">
      <c r="B308" s="2"/>
    </row>
    <row r="309" spans="2:2" x14ac:dyDescent="0.2">
      <c r="B309" s="2"/>
    </row>
    <row r="310" spans="2:2" x14ac:dyDescent="0.2">
      <c r="B310" s="2"/>
    </row>
    <row r="311" spans="2:2" x14ac:dyDescent="0.2">
      <c r="B311" s="2"/>
    </row>
    <row r="312" spans="2:2" x14ac:dyDescent="0.2">
      <c r="B312" s="2"/>
    </row>
    <row r="313" spans="2:2" x14ac:dyDescent="0.2">
      <c r="B313" s="2"/>
    </row>
    <row r="314" spans="2:2" x14ac:dyDescent="0.2">
      <c r="B314" s="2"/>
    </row>
    <row r="315" spans="2:2" x14ac:dyDescent="0.2">
      <c r="B315" s="2"/>
    </row>
    <row r="316" spans="2:2" x14ac:dyDescent="0.2">
      <c r="B316" s="2"/>
    </row>
    <row r="317" spans="2:2" x14ac:dyDescent="0.2">
      <c r="B317" s="2"/>
    </row>
    <row r="318" spans="2:2" x14ac:dyDescent="0.2">
      <c r="B318" s="2"/>
    </row>
    <row r="319" spans="2:2" x14ac:dyDescent="0.2">
      <c r="B319" s="2"/>
    </row>
    <row r="320" spans="2:2" x14ac:dyDescent="0.2">
      <c r="B320" s="2"/>
    </row>
    <row r="321" spans="2:2" x14ac:dyDescent="0.2">
      <c r="B321" s="2"/>
    </row>
    <row r="322" spans="2:2" x14ac:dyDescent="0.2">
      <c r="B322" s="2"/>
    </row>
    <row r="323" spans="2:2" x14ac:dyDescent="0.2">
      <c r="B323" s="2"/>
    </row>
    <row r="324" spans="2:2" x14ac:dyDescent="0.2">
      <c r="B324" s="2"/>
    </row>
    <row r="325" spans="2:2" x14ac:dyDescent="0.2">
      <c r="B325" s="2"/>
    </row>
    <row r="326" spans="2:2" x14ac:dyDescent="0.2">
      <c r="B326" s="2"/>
    </row>
    <row r="327" spans="2:2" x14ac:dyDescent="0.2">
      <c r="B327" s="2"/>
    </row>
    <row r="328" spans="2:2" x14ac:dyDescent="0.2">
      <c r="B328" s="2"/>
    </row>
    <row r="329" spans="2:2" x14ac:dyDescent="0.2">
      <c r="B329" s="2"/>
    </row>
    <row r="330" spans="2:2" x14ac:dyDescent="0.2">
      <c r="B330" s="2"/>
    </row>
    <row r="331" spans="2:2" x14ac:dyDescent="0.2">
      <c r="B331" s="2"/>
    </row>
    <row r="332" spans="2:2" x14ac:dyDescent="0.2">
      <c r="B332" s="2"/>
    </row>
    <row r="333" spans="2:2" x14ac:dyDescent="0.2">
      <c r="B333" s="2"/>
    </row>
    <row r="334" spans="2:2" x14ac:dyDescent="0.2">
      <c r="B334" s="2"/>
    </row>
    <row r="335" spans="2:2" x14ac:dyDescent="0.2">
      <c r="B335" s="2"/>
    </row>
    <row r="336" spans="2:2" x14ac:dyDescent="0.2">
      <c r="B336" s="2"/>
    </row>
    <row r="337" spans="2:2" x14ac:dyDescent="0.2">
      <c r="B337" s="2"/>
    </row>
    <row r="338" spans="2:2" x14ac:dyDescent="0.2">
      <c r="B338" s="2"/>
    </row>
    <row r="339" spans="2:2" x14ac:dyDescent="0.2">
      <c r="B339" s="2"/>
    </row>
    <row r="340" spans="2:2" x14ac:dyDescent="0.2">
      <c r="B340" s="2"/>
    </row>
    <row r="341" spans="2:2" x14ac:dyDescent="0.2">
      <c r="B341" s="2"/>
    </row>
    <row r="342" spans="2:2" x14ac:dyDescent="0.2">
      <c r="B342" s="2"/>
    </row>
    <row r="343" spans="2:2" x14ac:dyDescent="0.2">
      <c r="B343" s="2"/>
    </row>
    <row r="344" spans="2:2" x14ac:dyDescent="0.2">
      <c r="B344" s="2"/>
    </row>
    <row r="345" spans="2:2" x14ac:dyDescent="0.2">
      <c r="B345" s="2"/>
    </row>
    <row r="346" spans="2:2" x14ac:dyDescent="0.2">
      <c r="B346" s="2"/>
    </row>
    <row r="347" spans="2:2" x14ac:dyDescent="0.2">
      <c r="B347" s="2"/>
    </row>
    <row r="348" spans="2:2" x14ac:dyDescent="0.2">
      <c r="B348" s="2"/>
    </row>
    <row r="349" spans="2:2" x14ac:dyDescent="0.2">
      <c r="B349" s="2"/>
    </row>
    <row r="350" spans="2:2" x14ac:dyDescent="0.2">
      <c r="B350" s="2"/>
    </row>
    <row r="351" spans="2:2" x14ac:dyDescent="0.2">
      <c r="B351" s="2"/>
    </row>
    <row r="352" spans="2:2" x14ac:dyDescent="0.2">
      <c r="B352" s="2"/>
    </row>
    <row r="353" spans="2:2" x14ac:dyDescent="0.2">
      <c r="B353" s="2"/>
    </row>
    <row r="354" spans="2:2" x14ac:dyDescent="0.2">
      <c r="B354" s="2"/>
    </row>
    <row r="355" spans="2:2" x14ac:dyDescent="0.2">
      <c r="B355" s="2"/>
    </row>
    <row r="356" spans="2:2" x14ac:dyDescent="0.2">
      <c r="B356" s="2"/>
    </row>
    <row r="357" spans="2:2" x14ac:dyDescent="0.2">
      <c r="B357" s="2"/>
    </row>
    <row r="358" spans="2:2" x14ac:dyDescent="0.2">
      <c r="B358" s="2"/>
    </row>
    <row r="359" spans="2:2" x14ac:dyDescent="0.2">
      <c r="B359" s="2"/>
    </row>
    <row r="360" spans="2:2" x14ac:dyDescent="0.2">
      <c r="B360" s="2"/>
    </row>
    <row r="361" spans="2:2" x14ac:dyDescent="0.2">
      <c r="B361" s="2"/>
    </row>
    <row r="362" spans="2:2" x14ac:dyDescent="0.2">
      <c r="B362" s="2"/>
    </row>
    <row r="363" spans="2:2" x14ac:dyDescent="0.2">
      <c r="B363" s="2"/>
    </row>
    <row r="364" spans="2:2" x14ac:dyDescent="0.2">
      <c r="B364" s="2"/>
    </row>
    <row r="365" spans="2:2" x14ac:dyDescent="0.2">
      <c r="B365" s="2"/>
    </row>
    <row r="366" spans="2:2" x14ac:dyDescent="0.2">
      <c r="B366" s="2"/>
    </row>
    <row r="367" spans="2:2" x14ac:dyDescent="0.2">
      <c r="B367" s="2"/>
    </row>
    <row r="368" spans="2:2" x14ac:dyDescent="0.2">
      <c r="B368" s="2"/>
    </row>
    <row r="369" spans="2:2" x14ac:dyDescent="0.2">
      <c r="B369" s="2"/>
    </row>
    <row r="370" spans="2:2" x14ac:dyDescent="0.2">
      <c r="B370" s="2"/>
    </row>
    <row r="371" spans="2:2" x14ac:dyDescent="0.2">
      <c r="B371" s="2"/>
    </row>
    <row r="372" spans="2:2" x14ac:dyDescent="0.2">
      <c r="B372" s="2"/>
    </row>
    <row r="373" spans="2:2" x14ac:dyDescent="0.2">
      <c r="B373" s="2"/>
    </row>
    <row r="374" spans="2:2" x14ac:dyDescent="0.2">
      <c r="B374" s="2"/>
    </row>
    <row r="375" spans="2:2" x14ac:dyDescent="0.2">
      <c r="B375" s="2"/>
    </row>
    <row r="376" spans="2:2" x14ac:dyDescent="0.2">
      <c r="B376" s="2"/>
    </row>
    <row r="377" spans="2:2" x14ac:dyDescent="0.2">
      <c r="B377" s="2"/>
    </row>
    <row r="378" spans="2:2" x14ac:dyDescent="0.2">
      <c r="B378" s="2"/>
    </row>
    <row r="379" spans="2:2" x14ac:dyDescent="0.2">
      <c r="B379" s="2"/>
    </row>
    <row r="380" spans="2:2" x14ac:dyDescent="0.2">
      <c r="B380" s="2"/>
    </row>
    <row r="381" spans="2:2" x14ac:dyDescent="0.2">
      <c r="B381" s="2"/>
    </row>
    <row r="382" spans="2:2" x14ac:dyDescent="0.2">
      <c r="B382" s="2"/>
    </row>
    <row r="383" spans="2:2" x14ac:dyDescent="0.2">
      <c r="B383" s="2"/>
    </row>
    <row r="384" spans="2:2" x14ac:dyDescent="0.2">
      <c r="B384" s="2"/>
    </row>
    <row r="385" spans="2:2" x14ac:dyDescent="0.2">
      <c r="B385" s="2"/>
    </row>
    <row r="386" spans="2:2" x14ac:dyDescent="0.2">
      <c r="B386" s="2"/>
    </row>
    <row r="387" spans="2:2" x14ac:dyDescent="0.2">
      <c r="B387" s="2"/>
    </row>
    <row r="388" spans="2:2" x14ac:dyDescent="0.2">
      <c r="B388" s="2"/>
    </row>
    <row r="389" spans="2:2" x14ac:dyDescent="0.2">
      <c r="B389" s="2"/>
    </row>
    <row r="390" spans="2:2" x14ac:dyDescent="0.2">
      <c r="B390" s="2"/>
    </row>
    <row r="391" spans="2:2" x14ac:dyDescent="0.2">
      <c r="B391" s="2"/>
    </row>
    <row r="392" spans="2:2" x14ac:dyDescent="0.2">
      <c r="B392" s="2"/>
    </row>
    <row r="393" spans="2:2" x14ac:dyDescent="0.2">
      <c r="B393" s="2"/>
    </row>
    <row r="394" spans="2:2" x14ac:dyDescent="0.2">
      <c r="B394" s="2"/>
    </row>
    <row r="395" spans="2:2" x14ac:dyDescent="0.2">
      <c r="B395" s="2"/>
    </row>
    <row r="396" spans="2:2" x14ac:dyDescent="0.2">
      <c r="B396" s="2"/>
    </row>
    <row r="397" spans="2:2" x14ac:dyDescent="0.2">
      <c r="B397" s="2"/>
    </row>
    <row r="398" spans="2:2" x14ac:dyDescent="0.2">
      <c r="B398" s="2"/>
    </row>
    <row r="399" spans="2:2" x14ac:dyDescent="0.2">
      <c r="B399" s="2"/>
    </row>
    <row r="400" spans="2:2" x14ac:dyDescent="0.2">
      <c r="B400" s="2"/>
    </row>
    <row r="401" spans="2:2" x14ac:dyDescent="0.2">
      <c r="B401" s="2"/>
    </row>
    <row r="402" spans="2:2" x14ac:dyDescent="0.2">
      <c r="B402" s="2"/>
    </row>
    <row r="403" spans="2:2" x14ac:dyDescent="0.2">
      <c r="B403" s="2"/>
    </row>
    <row r="404" spans="2:2" x14ac:dyDescent="0.2">
      <c r="B404" s="2"/>
    </row>
    <row r="405" spans="2:2" x14ac:dyDescent="0.2">
      <c r="B405" s="2"/>
    </row>
    <row r="406" spans="2:2" x14ac:dyDescent="0.2">
      <c r="B406" s="2"/>
    </row>
    <row r="407" spans="2:2" x14ac:dyDescent="0.2">
      <c r="B407" s="2"/>
    </row>
    <row r="408" spans="2:2" x14ac:dyDescent="0.2">
      <c r="B408" s="2"/>
    </row>
    <row r="409" spans="2:2" x14ac:dyDescent="0.2">
      <c r="B409" s="2"/>
    </row>
    <row r="410" spans="2:2" x14ac:dyDescent="0.2">
      <c r="B410" s="2"/>
    </row>
    <row r="411" spans="2:2" x14ac:dyDescent="0.2">
      <c r="B411" s="2"/>
    </row>
    <row r="412" spans="2:2" x14ac:dyDescent="0.2">
      <c r="B412" s="2"/>
    </row>
    <row r="413" spans="2:2" x14ac:dyDescent="0.2">
      <c r="B413" s="2"/>
    </row>
    <row r="414" spans="2:2" x14ac:dyDescent="0.2">
      <c r="B414" s="2"/>
    </row>
    <row r="415" spans="2:2" x14ac:dyDescent="0.2">
      <c r="B415" s="2"/>
    </row>
    <row r="416" spans="2:2" x14ac:dyDescent="0.2">
      <c r="B416" s="2"/>
    </row>
    <row r="417" spans="2:2" x14ac:dyDescent="0.2">
      <c r="B417" s="2"/>
    </row>
    <row r="418" spans="2:2" x14ac:dyDescent="0.2">
      <c r="B418" s="2"/>
    </row>
    <row r="419" spans="2:2" x14ac:dyDescent="0.2">
      <c r="B419" s="2"/>
    </row>
    <row r="420" spans="2:2" x14ac:dyDescent="0.2">
      <c r="B420" s="2"/>
    </row>
    <row r="421" spans="2:2" x14ac:dyDescent="0.2">
      <c r="B421" s="2"/>
    </row>
    <row r="422" spans="2:2" x14ac:dyDescent="0.2">
      <c r="B422" s="2"/>
    </row>
    <row r="423" spans="2:2" x14ac:dyDescent="0.2">
      <c r="B423" s="2"/>
    </row>
    <row r="424" spans="2:2" x14ac:dyDescent="0.2">
      <c r="B424" s="2"/>
    </row>
    <row r="425" spans="2:2" x14ac:dyDescent="0.2">
      <c r="B425" s="2"/>
    </row>
    <row r="426" spans="2:2" x14ac:dyDescent="0.2">
      <c r="B426" s="2"/>
    </row>
    <row r="427" spans="2:2" x14ac:dyDescent="0.2">
      <c r="B427" s="2"/>
    </row>
    <row r="428" spans="2:2" x14ac:dyDescent="0.2">
      <c r="B428" s="2"/>
    </row>
    <row r="429" spans="2:2" x14ac:dyDescent="0.2">
      <c r="B429" s="2"/>
    </row>
    <row r="430" spans="2:2" x14ac:dyDescent="0.2">
      <c r="B430" s="2"/>
    </row>
    <row r="431" spans="2:2" x14ac:dyDescent="0.2">
      <c r="B431" s="2"/>
    </row>
    <row r="432" spans="2:2" x14ac:dyDescent="0.2">
      <c r="B432" s="2"/>
    </row>
    <row r="433" spans="2:2" x14ac:dyDescent="0.2">
      <c r="B433" s="2"/>
    </row>
    <row r="434" spans="2:2" x14ac:dyDescent="0.2">
      <c r="B434" s="2"/>
    </row>
    <row r="435" spans="2:2" x14ac:dyDescent="0.2">
      <c r="B435" s="2"/>
    </row>
    <row r="436" spans="2:2" x14ac:dyDescent="0.2">
      <c r="B436" s="2"/>
    </row>
    <row r="437" spans="2:2" x14ac:dyDescent="0.2">
      <c r="B437" s="2"/>
    </row>
    <row r="438" spans="2:2" x14ac:dyDescent="0.2">
      <c r="B438" s="2"/>
    </row>
    <row r="439" spans="2:2" x14ac:dyDescent="0.2">
      <c r="B439" s="2"/>
    </row>
    <row r="440" spans="2:2" x14ac:dyDescent="0.2">
      <c r="B440" s="2"/>
    </row>
    <row r="441" spans="2:2" x14ac:dyDescent="0.2">
      <c r="B441" s="2"/>
    </row>
    <row r="442" spans="2:2" x14ac:dyDescent="0.2">
      <c r="B442" s="2"/>
    </row>
    <row r="443" spans="2:2" x14ac:dyDescent="0.2">
      <c r="B443" s="2"/>
    </row>
    <row r="444" spans="2:2" x14ac:dyDescent="0.2">
      <c r="B444" s="2"/>
    </row>
    <row r="445" spans="2:2" x14ac:dyDescent="0.2">
      <c r="B445" s="2"/>
    </row>
    <row r="446" spans="2:2" x14ac:dyDescent="0.2">
      <c r="B446" s="2"/>
    </row>
    <row r="447" spans="2:2" x14ac:dyDescent="0.2">
      <c r="B447" s="2"/>
    </row>
    <row r="448" spans="2:2" x14ac:dyDescent="0.2">
      <c r="B448" s="2"/>
    </row>
    <row r="449" spans="2:2" x14ac:dyDescent="0.2">
      <c r="B449" s="2"/>
    </row>
    <row r="450" spans="2:2" x14ac:dyDescent="0.2">
      <c r="B450" s="2"/>
    </row>
    <row r="451" spans="2:2" x14ac:dyDescent="0.2">
      <c r="B451" s="2"/>
    </row>
    <row r="452" spans="2:2" x14ac:dyDescent="0.2">
      <c r="B452" s="2"/>
    </row>
    <row r="453" spans="2:2" x14ac:dyDescent="0.2">
      <c r="B453" s="2"/>
    </row>
    <row r="454" spans="2:2" x14ac:dyDescent="0.2">
      <c r="B454" s="2"/>
    </row>
    <row r="455" spans="2:2" x14ac:dyDescent="0.2">
      <c r="B455" s="2"/>
    </row>
    <row r="456" spans="2:2" x14ac:dyDescent="0.2">
      <c r="B456" s="2"/>
    </row>
    <row r="457" spans="2:2" x14ac:dyDescent="0.2">
      <c r="B457" s="2"/>
    </row>
    <row r="458" spans="2:2" x14ac:dyDescent="0.2">
      <c r="B458" s="2"/>
    </row>
    <row r="459" spans="2:2" x14ac:dyDescent="0.2">
      <c r="B459" s="2"/>
    </row>
    <row r="460" spans="2:2" x14ac:dyDescent="0.2">
      <c r="B460" s="2"/>
    </row>
    <row r="461" spans="2:2" x14ac:dyDescent="0.2">
      <c r="B461" s="2"/>
    </row>
    <row r="462" spans="2:2" x14ac:dyDescent="0.2">
      <c r="B462" s="2"/>
    </row>
    <row r="463" spans="2:2" x14ac:dyDescent="0.2">
      <c r="B463" s="2"/>
    </row>
    <row r="464" spans="2:2" x14ac:dyDescent="0.2">
      <c r="B464" s="2"/>
    </row>
    <row r="465" spans="2:2" x14ac:dyDescent="0.2">
      <c r="B465" s="2"/>
    </row>
    <row r="466" spans="2:2" x14ac:dyDescent="0.2">
      <c r="B466" s="2"/>
    </row>
    <row r="467" spans="2:2" x14ac:dyDescent="0.2">
      <c r="B467" s="2"/>
    </row>
    <row r="468" spans="2:2" x14ac:dyDescent="0.2">
      <c r="B468" s="2"/>
    </row>
    <row r="469" spans="2:2" x14ac:dyDescent="0.2">
      <c r="B469" s="2"/>
    </row>
    <row r="470" spans="2:2" x14ac:dyDescent="0.2">
      <c r="B470" s="2"/>
    </row>
    <row r="471" spans="2:2" x14ac:dyDescent="0.2">
      <c r="B471" s="2"/>
    </row>
    <row r="472" spans="2:2" x14ac:dyDescent="0.2">
      <c r="B472" s="2"/>
    </row>
    <row r="473" spans="2:2" x14ac:dyDescent="0.2">
      <c r="B473" s="2"/>
    </row>
    <row r="474" spans="2:2" x14ac:dyDescent="0.2">
      <c r="B474" s="2"/>
    </row>
    <row r="475" spans="2:2" x14ac:dyDescent="0.2">
      <c r="B475" s="2"/>
    </row>
    <row r="476" spans="2:2" x14ac:dyDescent="0.2">
      <c r="B476" s="2"/>
    </row>
    <row r="477" spans="2:2" x14ac:dyDescent="0.2">
      <c r="B477" s="2"/>
    </row>
    <row r="478" spans="2:2" x14ac:dyDescent="0.2">
      <c r="B478" s="2"/>
    </row>
    <row r="479" spans="2:2" x14ac:dyDescent="0.2">
      <c r="B479" s="2"/>
    </row>
    <row r="480" spans="2:2" x14ac:dyDescent="0.2">
      <c r="B480" s="2"/>
    </row>
    <row r="481" spans="2:2" x14ac:dyDescent="0.2">
      <c r="B481" s="2"/>
    </row>
    <row r="482" spans="2:2" x14ac:dyDescent="0.2">
      <c r="B482" s="2"/>
    </row>
    <row r="483" spans="2:2" x14ac:dyDescent="0.2">
      <c r="B483" s="2"/>
    </row>
    <row r="484" spans="2:2" x14ac:dyDescent="0.2">
      <c r="B484" s="2"/>
    </row>
    <row r="485" spans="2:2" x14ac:dyDescent="0.2">
      <c r="B485" s="2"/>
    </row>
    <row r="486" spans="2:2" x14ac:dyDescent="0.2">
      <c r="B486" s="2"/>
    </row>
    <row r="487" spans="2:2" x14ac:dyDescent="0.2">
      <c r="B487" s="2"/>
    </row>
    <row r="488" spans="2:2" x14ac:dyDescent="0.2">
      <c r="B488" s="2"/>
    </row>
    <row r="489" spans="2:2" x14ac:dyDescent="0.2">
      <c r="B489" s="2"/>
    </row>
    <row r="490" spans="2:2" x14ac:dyDescent="0.2">
      <c r="B490" s="2"/>
    </row>
    <row r="491" spans="2:2" x14ac:dyDescent="0.2">
      <c r="B491" s="2"/>
    </row>
    <row r="492" spans="2:2" x14ac:dyDescent="0.2">
      <c r="B492" s="2"/>
    </row>
    <row r="493" spans="2:2" x14ac:dyDescent="0.2">
      <c r="B493" s="2"/>
    </row>
    <row r="494" spans="2:2" x14ac:dyDescent="0.2">
      <c r="B494" s="2"/>
    </row>
    <row r="495" spans="2:2" x14ac:dyDescent="0.2">
      <c r="B495" s="2"/>
    </row>
    <row r="496" spans="2:2" x14ac:dyDescent="0.2">
      <c r="B496" s="2"/>
    </row>
    <row r="497" spans="2:2" x14ac:dyDescent="0.2">
      <c r="B497" s="2"/>
    </row>
    <row r="498" spans="2:2" x14ac:dyDescent="0.2">
      <c r="B498" s="2"/>
    </row>
    <row r="499" spans="2:2" x14ac:dyDescent="0.2">
      <c r="B499" s="2"/>
    </row>
    <row r="500" spans="2:2" x14ac:dyDescent="0.2">
      <c r="B500" s="2"/>
    </row>
    <row r="501" spans="2:2" x14ac:dyDescent="0.2">
      <c r="B501" s="2"/>
    </row>
    <row r="502" spans="2:2" x14ac:dyDescent="0.2">
      <c r="B502" s="2"/>
    </row>
    <row r="503" spans="2:2" x14ac:dyDescent="0.2">
      <c r="B503" s="2"/>
    </row>
    <row r="504" spans="2:2" x14ac:dyDescent="0.2">
      <c r="B504" s="2"/>
    </row>
    <row r="505" spans="2:2" x14ac:dyDescent="0.2">
      <c r="B505" s="2"/>
    </row>
    <row r="506" spans="2:2" x14ac:dyDescent="0.2">
      <c r="B506" s="2"/>
    </row>
    <row r="507" spans="2:2" x14ac:dyDescent="0.2">
      <c r="B507" s="2"/>
    </row>
    <row r="508" spans="2:2" x14ac:dyDescent="0.2">
      <c r="B508" s="2"/>
    </row>
    <row r="509" spans="2:2" x14ac:dyDescent="0.2">
      <c r="B509" s="2"/>
    </row>
    <row r="510" spans="2:2" x14ac:dyDescent="0.2">
      <c r="B510" s="2"/>
    </row>
    <row r="511" spans="2:2" x14ac:dyDescent="0.2">
      <c r="B511" s="2"/>
    </row>
    <row r="512" spans="2:2" x14ac:dyDescent="0.2">
      <c r="B512" s="2"/>
    </row>
    <row r="513" spans="2:2" x14ac:dyDescent="0.2">
      <c r="B513" s="2"/>
    </row>
    <row r="514" spans="2:2" x14ac:dyDescent="0.2">
      <c r="B514" s="2"/>
    </row>
    <row r="515" spans="2:2" x14ac:dyDescent="0.2">
      <c r="B515" s="2"/>
    </row>
    <row r="516" spans="2:2" x14ac:dyDescent="0.2">
      <c r="B516" s="2"/>
    </row>
    <row r="517" spans="2:2" x14ac:dyDescent="0.2">
      <c r="B517" s="2"/>
    </row>
    <row r="518" spans="2:2" x14ac:dyDescent="0.2">
      <c r="B518" s="2"/>
    </row>
    <row r="519" spans="2:2" x14ac:dyDescent="0.2">
      <c r="B519" s="2"/>
    </row>
    <row r="520" spans="2:2" x14ac:dyDescent="0.2">
      <c r="B520" s="2"/>
    </row>
    <row r="521" spans="2:2" x14ac:dyDescent="0.2">
      <c r="B521" s="2"/>
    </row>
    <row r="522" spans="2:2" x14ac:dyDescent="0.2">
      <c r="B522" s="2"/>
    </row>
    <row r="523" spans="2:2" x14ac:dyDescent="0.2">
      <c r="B523" s="2"/>
    </row>
    <row r="524" spans="2:2" x14ac:dyDescent="0.2">
      <c r="B524" s="2"/>
    </row>
    <row r="525" spans="2:2" x14ac:dyDescent="0.2">
      <c r="B525" s="2"/>
    </row>
    <row r="526" spans="2:2" x14ac:dyDescent="0.2">
      <c r="B526" s="2"/>
    </row>
    <row r="527" spans="2:2" x14ac:dyDescent="0.2">
      <c r="B527" s="2"/>
    </row>
    <row r="528" spans="2:2" x14ac:dyDescent="0.2">
      <c r="B528" s="2"/>
    </row>
    <row r="529" spans="2:2" x14ac:dyDescent="0.2">
      <c r="B529" s="2"/>
    </row>
    <row r="530" spans="2:2" x14ac:dyDescent="0.2">
      <c r="B530" s="2"/>
    </row>
    <row r="531" spans="2:2" x14ac:dyDescent="0.2">
      <c r="B531" s="2"/>
    </row>
    <row r="532" spans="2:2" x14ac:dyDescent="0.2">
      <c r="B532" s="2"/>
    </row>
    <row r="533" spans="2:2" x14ac:dyDescent="0.2">
      <c r="B533" s="2"/>
    </row>
    <row r="534" spans="2:2" x14ac:dyDescent="0.2">
      <c r="B534" s="2"/>
    </row>
    <row r="535" spans="2:2" x14ac:dyDescent="0.2">
      <c r="B535" s="2"/>
    </row>
    <row r="536" spans="2:2" x14ac:dyDescent="0.2">
      <c r="B536" s="2"/>
    </row>
    <row r="537" spans="2:2" x14ac:dyDescent="0.2">
      <c r="B537" s="2"/>
    </row>
    <row r="538" spans="2:2" x14ac:dyDescent="0.2">
      <c r="B538" s="2"/>
    </row>
    <row r="539" spans="2:2" x14ac:dyDescent="0.2">
      <c r="B539" s="2"/>
    </row>
    <row r="540" spans="2:2" x14ac:dyDescent="0.2">
      <c r="B540" s="2"/>
    </row>
    <row r="541" spans="2:2" x14ac:dyDescent="0.2">
      <c r="B541" s="2"/>
    </row>
    <row r="542" spans="2:2" x14ac:dyDescent="0.2">
      <c r="B542" s="2"/>
    </row>
    <row r="543" spans="2:2" x14ac:dyDescent="0.2">
      <c r="B543" s="2"/>
    </row>
    <row r="544" spans="2:2" x14ac:dyDescent="0.2">
      <c r="B544" s="2"/>
    </row>
    <row r="545" spans="2:2" x14ac:dyDescent="0.2">
      <c r="B545" s="2"/>
    </row>
    <row r="546" spans="2:2" x14ac:dyDescent="0.2">
      <c r="B546" s="2"/>
    </row>
    <row r="547" spans="2:2" x14ac:dyDescent="0.2">
      <c r="B547" s="2"/>
    </row>
    <row r="548" spans="2:2" x14ac:dyDescent="0.2">
      <c r="B548" s="2"/>
    </row>
    <row r="549" spans="2:2" x14ac:dyDescent="0.2">
      <c r="B549" s="2"/>
    </row>
    <row r="550" spans="2:2" x14ac:dyDescent="0.2">
      <c r="B550" s="2"/>
    </row>
    <row r="551" spans="2:2" x14ac:dyDescent="0.2">
      <c r="B551" s="2"/>
    </row>
    <row r="552" spans="2:2" x14ac:dyDescent="0.2">
      <c r="B552" s="2"/>
    </row>
    <row r="553" spans="2:2" x14ac:dyDescent="0.2">
      <c r="B553" s="2"/>
    </row>
    <row r="554" spans="2:2" x14ac:dyDescent="0.2">
      <c r="B554" s="2"/>
    </row>
    <row r="555" spans="2:2" x14ac:dyDescent="0.2">
      <c r="B555" s="2"/>
    </row>
    <row r="556" spans="2:2" x14ac:dyDescent="0.2">
      <c r="B556" s="2"/>
    </row>
    <row r="557" spans="2:2" x14ac:dyDescent="0.2">
      <c r="B557" s="2"/>
    </row>
    <row r="558" spans="2:2" x14ac:dyDescent="0.2">
      <c r="B558" s="2"/>
    </row>
    <row r="559" spans="2:2" x14ac:dyDescent="0.2">
      <c r="B559" s="2"/>
    </row>
    <row r="560" spans="2:2" x14ac:dyDescent="0.2">
      <c r="B560" s="2"/>
    </row>
    <row r="561" spans="2:2" x14ac:dyDescent="0.2">
      <c r="B561" s="2"/>
    </row>
    <row r="562" spans="2:2" x14ac:dyDescent="0.2">
      <c r="B562" s="2"/>
    </row>
    <row r="563" spans="2:2" x14ac:dyDescent="0.2">
      <c r="B563" s="2"/>
    </row>
    <row r="564" spans="2:2" x14ac:dyDescent="0.2">
      <c r="B564" s="2"/>
    </row>
    <row r="565" spans="2:2" x14ac:dyDescent="0.2">
      <c r="B565" s="2"/>
    </row>
    <row r="566" spans="2:2" x14ac:dyDescent="0.2">
      <c r="B566" s="2"/>
    </row>
    <row r="567" spans="2:2" x14ac:dyDescent="0.2">
      <c r="B567" s="2"/>
    </row>
    <row r="568" spans="2:2" x14ac:dyDescent="0.2">
      <c r="B568" s="2"/>
    </row>
    <row r="569" spans="2:2" x14ac:dyDescent="0.2">
      <c r="B569" s="2"/>
    </row>
    <row r="570" spans="2:2" x14ac:dyDescent="0.2">
      <c r="B570" s="2"/>
    </row>
    <row r="571" spans="2:2" x14ac:dyDescent="0.2">
      <c r="B571" s="2"/>
    </row>
    <row r="572" spans="2:2" x14ac:dyDescent="0.2">
      <c r="B572" s="2"/>
    </row>
    <row r="573" spans="2:2" x14ac:dyDescent="0.2">
      <c r="B573" s="2"/>
    </row>
    <row r="574" spans="2:2" x14ac:dyDescent="0.2">
      <c r="B574" s="2"/>
    </row>
    <row r="575" spans="2:2" x14ac:dyDescent="0.2">
      <c r="B575" s="2"/>
    </row>
    <row r="576" spans="2:2" x14ac:dyDescent="0.2">
      <c r="B576" s="2"/>
    </row>
    <row r="577" spans="2:2" x14ac:dyDescent="0.2">
      <c r="B577" s="2"/>
    </row>
    <row r="578" spans="2:2" x14ac:dyDescent="0.2">
      <c r="B578" s="2"/>
    </row>
    <row r="579" spans="2:2" x14ac:dyDescent="0.2">
      <c r="B579" s="2"/>
    </row>
    <row r="580" spans="2:2" x14ac:dyDescent="0.2">
      <c r="B580" s="2"/>
    </row>
    <row r="581" spans="2:2" x14ac:dyDescent="0.2">
      <c r="B581" s="2"/>
    </row>
    <row r="582" spans="2:2" x14ac:dyDescent="0.2">
      <c r="B582" s="2"/>
    </row>
    <row r="583" spans="2:2" x14ac:dyDescent="0.2">
      <c r="B583" s="2"/>
    </row>
    <row r="584" spans="2:2" x14ac:dyDescent="0.2">
      <c r="B584" s="2"/>
    </row>
    <row r="585" spans="2:2" x14ac:dyDescent="0.2">
      <c r="B585" s="2"/>
    </row>
    <row r="586" spans="2:2" x14ac:dyDescent="0.2">
      <c r="B586" s="2"/>
    </row>
    <row r="587" spans="2:2" x14ac:dyDescent="0.2">
      <c r="B587" s="2"/>
    </row>
    <row r="588" spans="2:2" x14ac:dyDescent="0.2">
      <c r="B588" s="2"/>
    </row>
    <row r="589" spans="2:2" x14ac:dyDescent="0.2">
      <c r="B589" s="2"/>
    </row>
    <row r="590" spans="2:2" x14ac:dyDescent="0.2">
      <c r="B590" s="2"/>
    </row>
    <row r="591" spans="2:2" x14ac:dyDescent="0.2">
      <c r="B591" s="2"/>
    </row>
    <row r="592" spans="2:2" x14ac:dyDescent="0.2">
      <c r="B592" s="2"/>
    </row>
    <row r="593" spans="2:2" x14ac:dyDescent="0.2">
      <c r="B593" s="2"/>
    </row>
    <row r="594" spans="2:2" x14ac:dyDescent="0.2">
      <c r="B594" s="2"/>
    </row>
    <row r="595" spans="2:2" x14ac:dyDescent="0.2">
      <c r="B595" s="2"/>
    </row>
    <row r="596" spans="2:2" x14ac:dyDescent="0.2">
      <c r="B596" s="2"/>
    </row>
    <row r="597" spans="2:2" x14ac:dyDescent="0.2">
      <c r="B597" s="2"/>
    </row>
    <row r="598" spans="2:2" x14ac:dyDescent="0.2">
      <c r="B598" s="2"/>
    </row>
    <row r="599" spans="2:2" x14ac:dyDescent="0.2">
      <c r="B599" s="2"/>
    </row>
    <row r="600" spans="2:2" x14ac:dyDescent="0.2">
      <c r="B600" s="2"/>
    </row>
    <row r="601" spans="2:2" x14ac:dyDescent="0.2">
      <c r="B601" s="2"/>
    </row>
    <row r="602" spans="2:2" x14ac:dyDescent="0.2">
      <c r="B602" s="2"/>
    </row>
    <row r="603" spans="2:2" x14ac:dyDescent="0.2">
      <c r="B603" s="2"/>
    </row>
    <row r="604" spans="2:2" x14ac:dyDescent="0.2">
      <c r="B604" s="2"/>
    </row>
    <row r="605" spans="2:2" x14ac:dyDescent="0.2">
      <c r="B605" s="2"/>
    </row>
    <row r="606" spans="2:2" x14ac:dyDescent="0.2">
      <c r="B606" s="2"/>
    </row>
    <row r="607" spans="2:2" x14ac:dyDescent="0.2">
      <c r="B607" s="2"/>
    </row>
    <row r="608" spans="2:2" x14ac:dyDescent="0.2">
      <c r="B608" s="2"/>
    </row>
    <row r="609" spans="2:2" x14ac:dyDescent="0.2">
      <c r="B609" s="2"/>
    </row>
    <row r="610" spans="2:2" x14ac:dyDescent="0.2">
      <c r="B610" s="2"/>
    </row>
    <row r="611" spans="2:2" x14ac:dyDescent="0.2">
      <c r="B611" s="2"/>
    </row>
    <row r="612" spans="2:2" x14ac:dyDescent="0.2">
      <c r="B612" s="2"/>
    </row>
    <row r="613" spans="2:2" x14ac:dyDescent="0.2">
      <c r="B613" s="2"/>
    </row>
    <row r="614" spans="2:2" x14ac:dyDescent="0.2">
      <c r="B614" s="2"/>
    </row>
    <row r="615" spans="2:2" x14ac:dyDescent="0.2">
      <c r="B615" s="2"/>
    </row>
    <row r="616" spans="2:2" x14ac:dyDescent="0.2">
      <c r="B616" s="2"/>
    </row>
    <row r="617" spans="2:2" x14ac:dyDescent="0.2">
      <c r="B617" s="2"/>
    </row>
    <row r="618" spans="2:2" x14ac:dyDescent="0.2">
      <c r="B618" s="2"/>
    </row>
    <row r="619" spans="2:2" x14ac:dyDescent="0.2">
      <c r="B619" s="2"/>
    </row>
    <row r="620" spans="2:2" x14ac:dyDescent="0.2">
      <c r="B620" s="2"/>
    </row>
    <row r="621" spans="2:2" x14ac:dyDescent="0.2">
      <c r="B621" s="2"/>
    </row>
    <row r="622" spans="2:2" x14ac:dyDescent="0.2">
      <c r="B622" s="2"/>
    </row>
    <row r="623" spans="2:2" x14ac:dyDescent="0.2">
      <c r="B623" s="2"/>
    </row>
    <row r="624" spans="2:2" x14ac:dyDescent="0.2">
      <c r="B624" s="2"/>
    </row>
    <row r="625" spans="2:2" x14ac:dyDescent="0.2">
      <c r="B625" s="2"/>
    </row>
    <row r="626" spans="2:2" x14ac:dyDescent="0.2">
      <c r="B626" s="2"/>
    </row>
    <row r="627" spans="2:2" x14ac:dyDescent="0.2">
      <c r="B627" s="2"/>
    </row>
    <row r="628" spans="2:2" x14ac:dyDescent="0.2">
      <c r="B628" s="2"/>
    </row>
    <row r="629" spans="2:2" x14ac:dyDescent="0.2">
      <c r="B629" s="2"/>
    </row>
    <row r="630" spans="2:2" x14ac:dyDescent="0.2">
      <c r="B630" s="2"/>
    </row>
    <row r="631" spans="2:2" x14ac:dyDescent="0.2">
      <c r="B631" s="2"/>
    </row>
    <row r="632" spans="2:2" x14ac:dyDescent="0.2">
      <c r="B632" s="2"/>
    </row>
    <row r="633" spans="2:2" x14ac:dyDescent="0.2">
      <c r="B633" s="2"/>
    </row>
    <row r="634" spans="2:2" x14ac:dyDescent="0.2">
      <c r="B634" s="2"/>
    </row>
    <row r="635" spans="2:2" x14ac:dyDescent="0.2">
      <c r="B635" s="2"/>
    </row>
    <row r="636" spans="2:2" x14ac:dyDescent="0.2">
      <c r="B636" s="2"/>
    </row>
    <row r="637" spans="2:2" x14ac:dyDescent="0.2">
      <c r="B637" s="2"/>
    </row>
    <row r="638" spans="2:2" x14ac:dyDescent="0.2">
      <c r="B638" s="2"/>
    </row>
    <row r="639" spans="2:2" x14ac:dyDescent="0.2">
      <c r="B639" s="2"/>
    </row>
    <row r="640" spans="2:2" x14ac:dyDescent="0.2">
      <c r="B640" s="2"/>
    </row>
    <row r="641" spans="2:2" x14ac:dyDescent="0.2">
      <c r="B641" s="2"/>
    </row>
    <row r="642" spans="2:2" x14ac:dyDescent="0.2">
      <c r="B642" s="2"/>
    </row>
    <row r="643" spans="2:2" x14ac:dyDescent="0.2">
      <c r="B643" s="2"/>
    </row>
    <row r="644" spans="2:2" x14ac:dyDescent="0.2">
      <c r="B644" s="2"/>
    </row>
    <row r="645" spans="2:2" x14ac:dyDescent="0.2">
      <c r="B645" s="2"/>
    </row>
    <row r="646" spans="2:2" x14ac:dyDescent="0.2">
      <c r="B646" s="2"/>
    </row>
    <row r="647" spans="2:2" x14ac:dyDescent="0.2">
      <c r="B647" s="2"/>
    </row>
    <row r="648" spans="2:2" x14ac:dyDescent="0.2">
      <c r="B648" s="2"/>
    </row>
    <row r="649" spans="2:2" x14ac:dyDescent="0.2">
      <c r="B649" s="2"/>
    </row>
    <row r="650" spans="2:2" x14ac:dyDescent="0.2">
      <c r="B650" s="2"/>
    </row>
    <row r="651" spans="2:2" x14ac:dyDescent="0.2">
      <c r="B651" s="2"/>
    </row>
    <row r="652" spans="2:2" x14ac:dyDescent="0.2">
      <c r="B652" s="2"/>
    </row>
    <row r="653" spans="2:2" x14ac:dyDescent="0.2">
      <c r="B653" s="2"/>
    </row>
    <row r="654" spans="2:2" x14ac:dyDescent="0.2">
      <c r="B654" s="2"/>
    </row>
    <row r="655" spans="2:2" x14ac:dyDescent="0.2">
      <c r="B655" s="2"/>
    </row>
    <row r="656" spans="2:2" x14ac:dyDescent="0.2">
      <c r="B656" s="2"/>
    </row>
    <row r="657" spans="2:2" x14ac:dyDescent="0.2">
      <c r="B657" s="2"/>
    </row>
    <row r="658" spans="2:2" x14ac:dyDescent="0.2">
      <c r="B658" s="2"/>
    </row>
    <row r="659" spans="2:2" x14ac:dyDescent="0.2">
      <c r="B659" s="2"/>
    </row>
    <row r="660" spans="2:2" x14ac:dyDescent="0.2">
      <c r="B660" s="2"/>
    </row>
    <row r="661" spans="2:2" x14ac:dyDescent="0.2">
      <c r="B661" s="2"/>
    </row>
    <row r="662" spans="2:2" x14ac:dyDescent="0.2">
      <c r="B662" s="2"/>
    </row>
    <row r="663" spans="2:2" x14ac:dyDescent="0.2">
      <c r="B663" s="2"/>
    </row>
    <row r="664" spans="2:2" x14ac:dyDescent="0.2">
      <c r="B664" s="2"/>
    </row>
    <row r="665" spans="2:2" x14ac:dyDescent="0.2">
      <c r="B665" s="2"/>
    </row>
    <row r="666" spans="2:2" x14ac:dyDescent="0.2">
      <c r="B666" s="2"/>
    </row>
    <row r="667" spans="2:2" x14ac:dyDescent="0.2">
      <c r="B667" s="2"/>
    </row>
    <row r="668" spans="2:2" x14ac:dyDescent="0.2">
      <c r="B668" s="2"/>
    </row>
    <row r="669" spans="2:2" x14ac:dyDescent="0.2">
      <c r="B669" s="2"/>
    </row>
    <row r="670" spans="2:2" x14ac:dyDescent="0.2">
      <c r="B670" s="2"/>
    </row>
    <row r="671" spans="2:2" x14ac:dyDescent="0.2">
      <c r="B671" s="2"/>
    </row>
    <row r="672" spans="2:2" x14ac:dyDescent="0.2">
      <c r="B672" s="2"/>
    </row>
    <row r="673" spans="2:2" x14ac:dyDescent="0.2">
      <c r="B673" s="2"/>
    </row>
    <row r="674" spans="2:2" x14ac:dyDescent="0.2">
      <c r="B674" s="2"/>
    </row>
    <row r="675" spans="2:2" x14ac:dyDescent="0.2">
      <c r="B675" s="2"/>
    </row>
    <row r="676" spans="2:2" x14ac:dyDescent="0.2">
      <c r="B676" s="2"/>
    </row>
    <row r="677" spans="2:2" x14ac:dyDescent="0.2">
      <c r="B677" s="2"/>
    </row>
    <row r="678" spans="2:2" x14ac:dyDescent="0.2">
      <c r="B678" s="2"/>
    </row>
    <row r="679" spans="2:2" x14ac:dyDescent="0.2">
      <c r="B679" s="2"/>
    </row>
    <row r="680" spans="2:2" x14ac:dyDescent="0.2">
      <c r="B680" s="2"/>
    </row>
    <row r="681" spans="2:2" x14ac:dyDescent="0.2">
      <c r="B681" s="2"/>
    </row>
    <row r="682" spans="2:2" x14ac:dyDescent="0.2">
      <c r="B682" s="2"/>
    </row>
    <row r="683" spans="2:2" x14ac:dyDescent="0.2">
      <c r="B683" s="2"/>
    </row>
    <row r="684" spans="2:2" x14ac:dyDescent="0.2">
      <c r="B684" s="2"/>
    </row>
    <row r="685" spans="2:2" x14ac:dyDescent="0.2">
      <c r="B685" s="2"/>
    </row>
    <row r="686" spans="2:2" x14ac:dyDescent="0.2">
      <c r="B686" s="2"/>
    </row>
    <row r="687" spans="2:2" x14ac:dyDescent="0.2">
      <c r="B687" s="2"/>
    </row>
    <row r="688" spans="2:2" x14ac:dyDescent="0.2">
      <c r="B688" s="2"/>
    </row>
    <row r="689" spans="2:2" x14ac:dyDescent="0.2">
      <c r="B689" s="2"/>
    </row>
    <row r="690" spans="2:2" x14ac:dyDescent="0.2">
      <c r="B690" s="2"/>
    </row>
    <row r="691" spans="2:2" x14ac:dyDescent="0.2">
      <c r="B691" s="2"/>
    </row>
    <row r="692" spans="2:2" x14ac:dyDescent="0.2">
      <c r="B692" s="2"/>
    </row>
    <row r="693" spans="2:2" x14ac:dyDescent="0.2">
      <c r="B693" s="2"/>
    </row>
    <row r="694" spans="2:2" x14ac:dyDescent="0.2">
      <c r="B694" s="2"/>
    </row>
    <row r="695" spans="2:2" x14ac:dyDescent="0.2">
      <c r="B695" s="2"/>
    </row>
    <row r="696" spans="2:2" x14ac:dyDescent="0.2">
      <c r="B696" s="2"/>
    </row>
    <row r="697" spans="2:2" x14ac:dyDescent="0.2">
      <c r="B697" s="2"/>
    </row>
    <row r="698" spans="2:2" x14ac:dyDescent="0.2">
      <c r="B698" s="2"/>
    </row>
    <row r="699" spans="2:2" x14ac:dyDescent="0.2">
      <c r="B699" s="2"/>
    </row>
    <row r="700" spans="2:2" x14ac:dyDescent="0.2">
      <c r="B700" s="2"/>
    </row>
    <row r="701" spans="2:2" x14ac:dyDescent="0.2">
      <c r="B701" s="2"/>
    </row>
    <row r="702" spans="2:2" x14ac:dyDescent="0.2">
      <c r="B702" s="2"/>
    </row>
    <row r="703" spans="2:2" x14ac:dyDescent="0.2">
      <c r="B703" s="2"/>
    </row>
    <row r="705" spans="2:2" x14ac:dyDescent="0.2">
      <c r="B705" s="2"/>
    </row>
    <row r="707" spans="2:2" x14ac:dyDescent="0.2">
      <c r="B707" s="2"/>
    </row>
    <row r="709" spans="2:2" x14ac:dyDescent="0.2">
      <c r="B709" s="2"/>
    </row>
    <row r="711" spans="2:2" x14ac:dyDescent="0.2">
      <c r="B711" s="2"/>
    </row>
    <row r="713" spans="2:2" x14ac:dyDescent="0.2">
      <c r="B713" s="2"/>
    </row>
    <row r="715" spans="2:2" x14ac:dyDescent="0.2">
      <c r="B715" s="2"/>
    </row>
    <row r="717" spans="2:2" x14ac:dyDescent="0.2">
      <c r="B717" s="2"/>
    </row>
    <row r="719" spans="2:2" x14ac:dyDescent="0.2">
      <c r="B719" s="2"/>
    </row>
    <row r="721" spans="2:2" x14ac:dyDescent="0.2">
      <c r="B721" s="2"/>
    </row>
    <row r="723" spans="2:2" x14ac:dyDescent="0.2">
      <c r="B723" s="2"/>
    </row>
    <row r="725" spans="2:2" x14ac:dyDescent="0.2">
      <c r="B725" s="2"/>
    </row>
    <row r="727" spans="2:2" x14ac:dyDescent="0.2">
      <c r="B727" s="2"/>
    </row>
    <row r="729" spans="2:2" x14ac:dyDescent="0.2">
      <c r="B729" s="2"/>
    </row>
    <row r="731" spans="2:2" x14ac:dyDescent="0.2">
      <c r="B731" s="2"/>
    </row>
    <row r="733" spans="2:2" x14ac:dyDescent="0.2">
      <c r="B733" s="2"/>
    </row>
    <row r="735" spans="2:2" x14ac:dyDescent="0.2">
      <c r="B735" s="2"/>
    </row>
    <row r="737" spans="2:2" x14ac:dyDescent="0.2">
      <c r="B737" s="2"/>
    </row>
    <row r="739" spans="2:2" x14ac:dyDescent="0.2">
      <c r="B739" s="2"/>
    </row>
    <row r="741" spans="2:2" x14ac:dyDescent="0.2">
      <c r="B741" s="2"/>
    </row>
    <row r="743" spans="2:2" x14ac:dyDescent="0.2">
      <c r="B743" s="2"/>
    </row>
    <row r="745" spans="2:2" x14ac:dyDescent="0.2">
      <c r="B745" s="2"/>
    </row>
    <row r="747" spans="2:2" x14ac:dyDescent="0.2">
      <c r="B747" s="2"/>
    </row>
    <row r="749" spans="2:2" x14ac:dyDescent="0.2">
      <c r="B749" s="2"/>
    </row>
    <row r="751" spans="2:2" x14ac:dyDescent="0.2">
      <c r="B751" s="2"/>
    </row>
    <row r="753" spans="2:2" x14ac:dyDescent="0.2">
      <c r="B753" s="2"/>
    </row>
    <row r="755" spans="2:2" x14ac:dyDescent="0.2">
      <c r="B755" s="2"/>
    </row>
    <row r="757" spans="2:2" x14ac:dyDescent="0.2">
      <c r="B757" s="2"/>
    </row>
    <row r="759" spans="2:2" x14ac:dyDescent="0.2">
      <c r="B759" s="2"/>
    </row>
    <row r="761" spans="2:2" x14ac:dyDescent="0.2">
      <c r="B761" s="2"/>
    </row>
    <row r="763" spans="2:2" x14ac:dyDescent="0.2">
      <c r="B763" s="2"/>
    </row>
    <row r="765" spans="2:2" x14ac:dyDescent="0.2">
      <c r="B765" s="2"/>
    </row>
    <row r="767" spans="2:2" x14ac:dyDescent="0.2">
      <c r="B767" s="2"/>
    </row>
    <row r="769" spans="2:2" x14ac:dyDescent="0.2">
      <c r="B769" s="2"/>
    </row>
    <row r="771" spans="2:2" x14ac:dyDescent="0.2">
      <c r="B771" s="2"/>
    </row>
    <row r="773" spans="2:2" x14ac:dyDescent="0.2">
      <c r="B773" s="2"/>
    </row>
    <row r="775" spans="2:2" x14ac:dyDescent="0.2">
      <c r="B775" s="2"/>
    </row>
    <row r="777" spans="2:2" x14ac:dyDescent="0.2">
      <c r="B777" s="2"/>
    </row>
    <row r="779" spans="2:2" x14ac:dyDescent="0.2">
      <c r="B779" s="2"/>
    </row>
    <row r="781" spans="2:2" x14ac:dyDescent="0.2">
      <c r="B781" s="2"/>
    </row>
    <row r="783" spans="2:2" x14ac:dyDescent="0.2">
      <c r="B783" s="2"/>
    </row>
    <row r="785" spans="2:2" x14ac:dyDescent="0.2">
      <c r="B785" s="2"/>
    </row>
    <row r="787" spans="2:2" x14ac:dyDescent="0.2">
      <c r="B787" s="2"/>
    </row>
    <row r="789" spans="2:2" x14ac:dyDescent="0.2">
      <c r="B789" s="2"/>
    </row>
    <row r="791" spans="2:2" x14ac:dyDescent="0.2">
      <c r="B791" s="2"/>
    </row>
    <row r="793" spans="2:2" x14ac:dyDescent="0.2">
      <c r="B793" s="2"/>
    </row>
    <row r="795" spans="2:2" x14ac:dyDescent="0.2">
      <c r="B795" s="2"/>
    </row>
    <row r="797" spans="2:2" x14ac:dyDescent="0.2">
      <c r="B797" s="2"/>
    </row>
    <row r="799" spans="2:2" x14ac:dyDescent="0.2">
      <c r="B799" s="2"/>
    </row>
    <row r="801" spans="2:2" x14ac:dyDescent="0.2">
      <c r="B801" s="2"/>
    </row>
    <row r="803" spans="2:2" x14ac:dyDescent="0.2">
      <c r="B803" s="2"/>
    </row>
    <row r="805" spans="2:2" x14ac:dyDescent="0.2">
      <c r="B805" s="2"/>
    </row>
    <row r="807" spans="2:2" x14ac:dyDescent="0.2">
      <c r="B807" s="2"/>
    </row>
    <row r="809" spans="2:2" x14ac:dyDescent="0.2">
      <c r="B809" s="2"/>
    </row>
    <row r="811" spans="2:2" x14ac:dyDescent="0.2">
      <c r="B811" s="2"/>
    </row>
    <row r="813" spans="2:2" x14ac:dyDescent="0.2">
      <c r="B813" s="2"/>
    </row>
    <row r="815" spans="2:2" x14ac:dyDescent="0.2">
      <c r="B815" s="2"/>
    </row>
    <row r="817" spans="2:2" x14ac:dyDescent="0.2">
      <c r="B817" s="2"/>
    </row>
    <row r="819" spans="2:2" x14ac:dyDescent="0.2">
      <c r="B819" s="2"/>
    </row>
    <row r="821" spans="2:2" x14ac:dyDescent="0.2">
      <c r="B821" s="2"/>
    </row>
    <row r="823" spans="2:2" x14ac:dyDescent="0.2">
      <c r="B823" s="2"/>
    </row>
    <row r="825" spans="2:2" x14ac:dyDescent="0.2">
      <c r="B825" s="2"/>
    </row>
    <row r="827" spans="2:2" x14ac:dyDescent="0.2">
      <c r="B827" s="2"/>
    </row>
    <row r="829" spans="2:2" x14ac:dyDescent="0.2">
      <c r="B829" s="2"/>
    </row>
    <row r="831" spans="2:2" x14ac:dyDescent="0.2">
      <c r="B831" s="2"/>
    </row>
    <row r="833" spans="2:2" x14ac:dyDescent="0.2">
      <c r="B833" s="2"/>
    </row>
    <row r="835" spans="2:2" x14ac:dyDescent="0.2">
      <c r="B835" s="2"/>
    </row>
    <row r="837" spans="2:2" x14ac:dyDescent="0.2">
      <c r="B837" s="2"/>
    </row>
    <row r="839" spans="2:2" x14ac:dyDescent="0.2">
      <c r="B839" s="2"/>
    </row>
    <row r="841" spans="2:2" x14ac:dyDescent="0.2">
      <c r="B841" s="2"/>
    </row>
    <row r="843" spans="2:2" x14ac:dyDescent="0.2">
      <c r="B843" s="2"/>
    </row>
    <row r="845" spans="2:2" x14ac:dyDescent="0.2">
      <c r="B845" s="2"/>
    </row>
    <row r="847" spans="2:2" x14ac:dyDescent="0.2">
      <c r="B847" s="2"/>
    </row>
    <row r="849" spans="2:2" x14ac:dyDescent="0.2">
      <c r="B849" s="2"/>
    </row>
    <row r="851" spans="2:2" x14ac:dyDescent="0.2">
      <c r="B851" s="2"/>
    </row>
    <row r="853" spans="2:2" x14ac:dyDescent="0.2">
      <c r="B853" s="2"/>
    </row>
    <row r="855" spans="2:2" x14ac:dyDescent="0.2">
      <c r="B855" s="2"/>
    </row>
    <row r="857" spans="2:2" x14ac:dyDescent="0.2">
      <c r="B857" s="2"/>
    </row>
    <row r="859" spans="2:2" x14ac:dyDescent="0.2">
      <c r="B859" s="2"/>
    </row>
    <row r="861" spans="2:2" x14ac:dyDescent="0.2">
      <c r="B861" s="2"/>
    </row>
    <row r="863" spans="2:2" x14ac:dyDescent="0.2">
      <c r="B863" s="2"/>
    </row>
    <row r="865" spans="2:2" x14ac:dyDescent="0.2">
      <c r="B865" s="2"/>
    </row>
    <row r="867" spans="2:2" x14ac:dyDescent="0.2">
      <c r="B867" s="2"/>
    </row>
    <row r="869" spans="2:2" x14ac:dyDescent="0.2">
      <c r="B869" s="2"/>
    </row>
    <row r="871" spans="2:2" x14ac:dyDescent="0.2">
      <c r="B871" s="2"/>
    </row>
    <row r="873" spans="2:2" x14ac:dyDescent="0.2">
      <c r="B873" s="2"/>
    </row>
    <row r="875" spans="2:2" x14ac:dyDescent="0.2">
      <c r="B875" s="2"/>
    </row>
    <row r="877" spans="2:2" x14ac:dyDescent="0.2">
      <c r="B877" s="2"/>
    </row>
    <row r="879" spans="2:2" x14ac:dyDescent="0.2">
      <c r="B879" s="2"/>
    </row>
    <row r="881" spans="2:2" x14ac:dyDescent="0.2">
      <c r="B881" s="2"/>
    </row>
    <row r="883" spans="2:2" x14ac:dyDescent="0.2">
      <c r="B883" s="2"/>
    </row>
    <row r="885" spans="2:2" x14ac:dyDescent="0.2">
      <c r="B885" s="2"/>
    </row>
    <row r="887" spans="2:2" x14ac:dyDescent="0.2">
      <c r="B887" s="2"/>
    </row>
    <row r="889" spans="2:2" x14ac:dyDescent="0.2">
      <c r="B889" s="2"/>
    </row>
    <row r="891" spans="2:2" x14ac:dyDescent="0.2">
      <c r="B891" s="2"/>
    </row>
    <row r="893" spans="2:2" x14ac:dyDescent="0.2">
      <c r="B893" s="2"/>
    </row>
    <row r="895" spans="2:2" x14ac:dyDescent="0.2">
      <c r="B895" s="2"/>
    </row>
    <row r="897" spans="2:2" x14ac:dyDescent="0.2">
      <c r="B897" s="2"/>
    </row>
    <row r="899" spans="2:2" x14ac:dyDescent="0.2">
      <c r="B899" s="2"/>
    </row>
    <row r="901" spans="2:2" x14ac:dyDescent="0.2">
      <c r="B901" s="2"/>
    </row>
    <row r="903" spans="2:2" x14ac:dyDescent="0.2">
      <c r="B903" s="2"/>
    </row>
    <row r="905" spans="2:2" x14ac:dyDescent="0.2">
      <c r="B905" s="2"/>
    </row>
    <row r="907" spans="2:2" x14ac:dyDescent="0.2">
      <c r="B907" s="2"/>
    </row>
    <row r="909" spans="2:2" x14ac:dyDescent="0.2">
      <c r="B909" s="2"/>
    </row>
    <row r="911" spans="2:2" x14ac:dyDescent="0.2">
      <c r="B911" s="2"/>
    </row>
    <row r="913" spans="2:2" x14ac:dyDescent="0.2">
      <c r="B913" s="2"/>
    </row>
    <row r="915" spans="2:2" x14ac:dyDescent="0.2">
      <c r="B915" s="2"/>
    </row>
    <row r="917" spans="2:2" x14ac:dyDescent="0.2">
      <c r="B917" s="2"/>
    </row>
    <row r="919" spans="2:2" x14ac:dyDescent="0.2">
      <c r="B919" s="2"/>
    </row>
    <row r="921" spans="2:2" x14ac:dyDescent="0.2">
      <c r="B921" s="2"/>
    </row>
    <row r="923" spans="2:2" x14ac:dyDescent="0.2">
      <c r="B923" s="2"/>
    </row>
    <row r="925" spans="2:2" x14ac:dyDescent="0.2">
      <c r="B925" s="2"/>
    </row>
    <row r="927" spans="2:2" x14ac:dyDescent="0.2">
      <c r="B927" s="2"/>
    </row>
    <row r="929" spans="2:2" x14ac:dyDescent="0.2">
      <c r="B929" s="2"/>
    </row>
    <row r="931" spans="2:2" x14ac:dyDescent="0.2">
      <c r="B931" s="2"/>
    </row>
    <row r="933" spans="2:2" x14ac:dyDescent="0.2">
      <c r="B933" s="2"/>
    </row>
    <row r="935" spans="2:2" x14ac:dyDescent="0.2">
      <c r="B935" s="2"/>
    </row>
    <row r="937" spans="2:2" x14ac:dyDescent="0.2">
      <c r="B937" s="2"/>
    </row>
    <row r="939" spans="2:2" x14ac:dyDescent="0.2">
      <c r="B939" s="2"/>
    </row>
    <row r="941" spans="2:2" x14ac:dyDescent="0.2">
      <c r="B941" s="2"/>
    </row>
    <row r="943" spans="2:2" x14ac:dyDescent="0.2">
      <c r="B943" s="2"/>
    </row>
    <row r="945" spans="2:2" x14ac:dyDescent="0.2">
      <c r="B945" s="2"/>
    </row>
    <row r="947" spans="2:2" x14ac:dyDescent="0.2">
      <c r="B947" s="2"/>
    </row>
    <row r="949" spans="2:2" x14ac:dyDescent="0.2">
      <c r="B949" s="2"/>
    </row>
    <row r="951" spans="2:2" x14ac:dyDescent="0.2">
      <c r="B951" s="2"/>
    </row>
    <row r="953" spans="2:2" x14ac:dyDescent="0.2">
      <c r="B953" s="2"/>
    </row>
    <row r="955" spans="2:2" x14ac:dyDescent="0.2">
      <c r="B955" s="2"/>
    </row>
    <row r="957" spans="2:2" x14ac:dyDescent="0.2">
      <c r="B957" s="2"/>
    </row>
    <row r="959" spans="2:2" x14ac:dyDescent="0.2">
      <c r="B959" s="2"/>
    </row>
    <row r="961" spans="2:2" x14ac:dyDescent="0.2">
      <c r="B961" s="2"/>
    </row>
    <row r="963" spans="2:2" x14ac:dyDescent="0.2">
      <c r="B963" s="2"/>
    </row>
    <row r="965" spans="2:2" x14ac:dyDescent="0.2">
      <c r="B965" s="2"/>
    </row>
    <row r="967" spans="2:2" x14ac:dyDescent="0.2">
      <c r="B967" s="2"/>
    </row>
    <row r="969" spans="2:2" x14ac:dyDescent="0.2">
      <c r="B969" s="2"/>
    </row>
    <row r="971" spans="2:2" x14ac:dyDescent="0.2">
      <c r="B971" s="2"/>
    </row>
    <row r="973" spans="2:2" x14ac:dyDescent="0.2">
      <c r="B973" s="2"/>
    </row>
    <row r="975" spans="2:2" x14ac:dyDescent="0.2">
      <c r="B975" s="2"/>
    </row>
    <row r="977" spans="2:2" x14ac:dyDescent="0.2">
      <c r="B977" s="2"/>
    </row>
    <row r="979" spans="2:2" x14ac:dyDescent="0.2">
      <c r="B979" s="2"/>
    </row>
    <row r="981" spans="2:2" x14ac:dyDescent="0.2">
      <c r="B981" s="2"/>
    </row>
    <row r="983" spans="2:2" x14ac:dyDescent="0.2">
      <c r="B983" s="2"/>
    </row>
    <row r="985" spans="2:2" x14ac:dyDescent="0.2">
      <c r="B985" s="2"/>
    </row>
    <row r="987" spans="2:2" x14ac:dyDescent="0.2">
      <c r="B987" s="2"/>
    </row>
    <row r="989" spans="2:2" x14ac:dyDescent="0.2">
      <c r="B989" s="2"/>
    </row>
    <row r="991" spans="2:2" x14ac:dyDescent="0.2">
      <c r="B991" s="2"/>
    </row>
    <row r="993" spans="2:2" x14ac:dyDescent="0.2">
      <c r="B993" s="2"/>
    </row>
    <row r="995" spans="2:2" x14ac:dyDescent="0.2">
      <c r="B995" s="2"/>
    </row>
    <row r="997" spans="2:2" x14ac:dyDescent="0.2">
      <c r="B997" s="2"/>
    </row>
    <row r="999" spans="2:2" x14ac:dyDescent="0.2">
      <c r="B999" s="2"/>
    </row>
    <row r="1001" spans="2:2" x14ac:dyDescent="0.2">
      <c r="B1001" s="2"/>
    </row>
    <row r="1003" spans="2:2" x14ac:dyDescent="0.2">
      <c r="B1003" s="2"/>
    </row>
    <row r="1005" spans="2:2" x14ac:dyDescent="0.2">
      <c r="B1005" s="2"/>
    </row>
    <row r="1007" spans="2:2" x14ac:dyDescent="0.2">
      <c r="B1007" s="2"/>
    </row>
    <row r="1009" spans="2:2" x14ac:dyDescent="0.2">
      <c r="B1009" s="2"/>
    </row>
    <row r="1011" spans="2:2" x14ac:dyDescent="0.2">
      <c r="B1011" s="2"/>
    </row>
    <row r="1013" spans="2:2" x14ac:dyDescent="0.2">
      <c r="B1013" s="2"/>
    </row>
    <row r="1015" spans="2:2" x14ac:dyDescent="0.2">
      <c r="B1015" s="2"/>
    </row>
    <row r="1017" spans="2:2" x14ac:dyDescent="0.2">
      <c r="B1017" s="2"/>
    </row>
    <row r="1019" spans="2:2" x14ac:dyDescent="0.2">
      <c r="B1019" s="2"/>
    </row>
    <row r="1021" spans="2:2" x14ac:dyDescent="0.2">
      <c r="B1021" s="2"/>
    </row>
    <row r="1023" spans="2:2" x14ac:dyDescent="0.2">
      <c r="B1023" s="2"/>
    </row>
    <row r="1025" spans="2:2" x14ac:dyDescent="0.2">
      <c r="B1025" s="2"/>
    </row>
    <row r="1027" spans="2:2" x14ac:dyDescent="0.2">
      <c r="B1027" s="2"/>
    </row>
    <row r="1029" spans="2:2" x14ac:dyDescent="0.2">
      <c r="B1029" s="2"/>
    </row>
    <row r="1031" spans="2:2" x14ac:dyDescent="0.2">
      <c r="B1031" s="2"/>
    </row>
    <row r="1033" spans="2:2" x14ac:dyDescent="0.2">
      <c r="B1033" s="2"/>
    </row>
    <row r="1035" spans="2:2" x14ac:dyDescent="0.2">
      <c r="B1035" s="2"/>
    </row>
    <row r="1037" spans="2:2" x14ac:dyDescent="0.2">
      <c r="B1037" s="2"/>
    </row>
    <row r="1039" spans="2:2" x14ac:dyDescent="0.2">
      <c r="B1039" s="2"/>
    </row>
    <row r="1041" spans="2:2" x14ac:dyDescent="0.2">
      <c r="B1041" s="2"/>
    </row>
    <row r="1043" spans="2:2" x14ac:dyDescent="0.2">
      <c r="B1043" s="2"/>
    </row>
    <row r="1045" spans="2:2" x14ac:dyDescent="0.2">
      <c r="B1045" s="2"/>
    </row>
    <row r="1047" spans="2:2" x14ac:dyDescent="0.2">
      <c r="B1047" s="2"/>
    </row>
    <row r="1049" spans="2:2" x14ac:dyDescent="0.2">
      <c r="B1049" s="2"/>
    </row>
    <row r="1051" spans="2:2" x14ac:dyDescent="0.2">
      <c r="B1051" s="2"/>
    </row>
    <row r="1053" spans="2:2" x14ac:dyDescent="0.2">
      <c r="B1053" s="2"/>
    </row>
    <row r="1055" spans="2:2" x14ac:dyDescent="0.2">
      <c r="B1055" s="2"/>
    </row>
    <row r="1057" spans="2:2" x14ac:dyDescent="0.2">
      <c r="B1057" s="2"/>
    </row>
    <row r="1059" spans="2:2" x14ac:dyDescent="0.2">
      <c r="B1059" s="2"/>
    </row>
    <row r="1061" spans="2:2" x14ac:dyDescent="0.2">
      <c r="B1061" s="2"/>
    </row>
    <row r="1063" spans="2:2" x14ac:dyDescent="0.2">
      <c r="B1063" s="2"/>
    </row>
    <row r="1065" spans="2:2" x14ac:dyDescent="0.2">
      <c r="B1065" s="2"/>
    </row>
    <row r="1067" spans="2:2" x14ac:dyDescent="0.2">
      <c r="B1067" s="2"/>
    </row>
    <row r="1069" spans="2:2" x14ac:dyDescent="0.2">
      <c r="B1069" s="2"/>
    </row>
    <row r="1071" spans="2:2" x14ac:dyDescent="0.2">
      <c r="B1071" s="2"/>
    </row>
    <row r="1073" spans="2:2" x14ac:dyDescent="0.2">
      <c r="B1073" s="2"/>
    </row>
    <row r="1075" spans="2:2" x14ac:dyDescent="0.2">
      <c r="B1075" s="2"/>
    </row>
    <row r="1077" spans="2:2" x14ac:dyDescent="0.2">
      <c r="B1077" s="2"/>
    </row>
    <row r="1079" spans="2:2" x14ac:dyDescent="0.2">
      <c r="B1079" s="2"/>
    </row>
    <row r="1081" spans="2:2" x14ac:dyDescent="0.2">
      <c r="B1081" s="2"/>
    </row>
    <row r="1083" spans="2:2" x14ac:dyDescent="0.2">
      <c r="B1083" s="2"/>
    </row>
    <row r="1085" spans="2:2" x14ac:dyDescent="0.2">
      <c r="B1085" s="2"/>
    </row>
    <row r="1087" spans="2:2" x14ac:dyDescent="0.2">
      <c r="B1087" s="2"/>
    </row>
    <row r="1089" spans="2:2" x14ac:dyDescent="0.2">
      <c r="B1089" s="2"/>
    </row>
    <row r="1091" spans="2:2" x14ac:dyDescent="0.2">
      <c r="B1091" s="2"/>
    </row>
    <row r="1093" spans="2:2" x14ac:dyDescent="0.2">
      <c r="B1093" s="2"/>
    </row>
    <row r="1095" spans="2:2" x14ac:dyDescent="0.2">
      <c r="B1095" s="2"/>
    </row>
    <row r="1097" spans="2:2" x14ac:dyDescent="0.2">
      <c r="B1097" s="2"/>
    </row>
    <row r="1099" spans="2:2" x14ac:dyDescent="0.2">
      <c r="B1099" s="2"/>
    </row>
    <row r="1101" spans="2:2" x14ac:dyDescent="0.2">
      <c r="B1101" s="2"/>
    </row>
    <row r="1103" spans="2:2" x14ac:dyDescent="0.2">
      <c r="B1103" s="2"/>
    </row>
    <row r="1105" spans="2:2" x14ac:dyDescent="0.2">
      <c r="B1105" s="2"/>
    </row>
    <row r="1107" spans="2:2" x14ac:dyDescent="0.2">
      <c r="B1107" s="2"/>
    </row>
    <row r="1109" spans="2:2" x14ac:dyDescent="0.2">
      <c r="B1109" s="2"/>
    </row>
    <row r="1111" spans="2:2" x14ac:dyDescent="0.2">
      <c r="B1111" s="2"/>
    </row>
    <row r="1113" spans="2:2" x14ac:dyDescent="0.2">
      <c r="B1113" s="2"/>
    </row>
    <row r="1115" spans="2:2" x14ac:dyDescent="0.2">
      <c r="B1115" s="2"/>
    </row>
    <row r="1117" spans="2:2" x14ac:dyDescent="0.2">
      <c r="B1117" s="2"/>
    </row>
    <row r="1119" spans="2:2" x14ac:dyDescent="0.2">
      <c r="B1119" s="2"/>
    </row>
    <row r="1121" spans="2:2" x14ac:dyDescent="0.2">
      <c r="B1121" s="2"/>
    </row>
    <row r="1123" spans="2:2" x14ac:dyDescent="0.2">
      <c r="B1123" s="2"/>
    </row>
    <row r="1125" spans="2:2" x14ac:dyDescent="0.2">
      <c r="B1125" s="2"/>
    </row>
    <row r="1127" spans="2:2" x14ac:dyDescent="0.2">
      <c r="B1127" s="2"/>
    </row>
    <row r="1129" spans="2:2" x14ac:dyDescent="0.2">
      <c r="B1129" s="2"/>
    </row>
    <row r="1131" spans="2:2" x14ac:dyDescent="0.2">
      <c r="B1131" s="2"/>
    </row>
    <row r="1133" spans="2:2" x14ac:dyDescent="0.2">
      <c r="B1133" s="2"/>
    </row>
    <row r="1135" spans="2:2" x14ac:dyDescent="0.2">
      <c r="B1135" s="2"/>
    </row>
    <row r="1137" spans="2:2" x14ac:dyDescent="0.2">
      <c r="B1137" s="2"/>
    </row>
    <row r="1139" spans="2:2" x14ac:dyDescent="0.2">
      <c r="B1139" s="2"/>
    </row>
    <row r="1141" spans="2:2" x14ac:dyDescent="0.2">
      <c r="B1141" s="2"/>
    </row>
    <row r="1143" spans="2:2" x14ac:dyDescent="0.2">
      <c r="B1143" s="2"/>
    </row>
    <row r="1145" spans="2:2" x14ac:dyDescent="0.2">
      <c r="B1145" s="2"/>
    </row>
    <row r="1147" spans="2:2" x14ac:dyDescent="0.2">
      <c r="B1147" s="2"/>
    </row>
    <row r="1149" spans="2:2" x14ac:dyDescent="0.2">
      <c r="B1149" s="2"/>
    </row>
    <row r="1151" spans="2:2" x14ac:dyDescent="0.2">
      <c r="B1151" s="2"/>
    </row>
    <row r="1153" spans="2:2" x14ac:dyDescent="0.2">
      <c r="B1153" s="2"/>
    </row>
    <row r="1155" spans="2:2" x14ac:dyDescent="0.2">
      <c r="B1155" s="2"/>
    </row>
    <row r="1157" spans="2:2" x14ac:dyDescent="0.2">
      <c r="B1157" s="2"/>
    </row>
    <row r="1159" spans="2:2" x14ac:dyDescent="0.2">
      <c r="B1159" s="2"/>
    </row>
    <row r="1161" spans="2:2" x14ac:dyDescent="0.2">
      <c r="B1161" s="2"/>
    </row>
    <row r="1163" spans="2:2" x14ac:dyDescent="0.2">
      <c r="B1163" s="2"/>
    </row>
    <row r="1165" spans="2:2" x14ac:dyDescent="0.2">
      <c r="B1165" s="2"/>
    </row>
    <row r="1167" spans="2:2" x14ac:dyDescent="0.2">
      <c r="B1167" s="2"/>
    </row>
    <row r="1169" spans="2:2" x14ac:dyDescent="0.2">
      <c r="B1169" s="2"/>
    </row>
    <row r="1171" spans="2:2" x14ac:dyDescent="0.2">
      <c r="B1171" s="2"/>
    </row>
    <row r="1173" spans="2:2" x14ac:dyDescent="0.2">
      <c r="B1173" s="2"/>
    </row>
    <row r="1175" spans="2:2" x14ac:dyDescent="0.2">
      <c r="B1175" s="2"/>
    </row>
    <row r="1177" spans="2:2" x14ac:dyDescent="0.2">
      <c r="B1177" s="2"/>
    </row>
    <row r="1179" spans="2:2" x14ac:dyDescent="0.2">
      <c r="B1179" s="2"/>
    </row>
    <row r="1181" spans="2:2" x14ac:dyDescent="0.2">
      <c r="B1181" s="2"/>
    </row>
    <row r="1183" spans="2:2" x14ac:dyDescent="0.2">
      <c r="B1183" s="2"/>
    </row>
    <row r="1185" spans="2:2" x14ac:dyDescent="0.2">
      <c r="B1185" s="2"/>
    </row>
    <row r="1187" spans="2:2" x14ac:dyDescent="0.2">
      <c r="B1187" s="2"/>
    </row>
    <row r="1189" spans="2:2" x14ac:dyDescent="0.2">
      <c r="B1189" s="2"/>
    </row>
    <row r="1191" spans="2:2" x14ac:dyDescent="0.2">
      <c r="B1191" s="2"/>
    </row>
    <row r="1193" spans="2:2" x14ac:dyDescent="0.2">
      <c r="B1193" s="2"/>
    </row>
    <row r="1195" spans="2:2" x14ac:dyDescent="0.2">
      <c r="B1195" s="2"/>
    </row>
    <row r="1197" spans="2:2" x14ac:dyDescent="0.2">
      <c r="B1197" s="2"/>
    </row>
    <row r="1199" spans="2:2" x14ac:dyDescent="0.2">
      <c r="B1199" s="2"/>
    </row>
    <row r="1201" spans="2:2" x14ac:dyDescent="0.2">
      <c r="B1201" s="2"/>
    </row>
    <row r="1203" spans="2:2" x14ac:dyDescent="0.2">
      <c r="B1203" s="2"/>
    </row>
    <row r="1205" spans="2:2" x14ac:dyDescent="0.2">
      <c r="B1205" s="2"/>
    </row>
    <row r="1207" spans="2:2" x14ac:dyDescent="0.2">
      <c r="B1207" s="2"/>
    </row>
    <row r="1209" spans="2:2" x14ac:dyDescent="0.2">
      <c r="B1209" s="2"/>
    </row>
    <row r="1211" spans="2:2" x14ac:dyDescent="0.2">
      <c r="B1211" s="2"/>
    </row>
    <row r="1213" spans="2:2" x14ac:dyDescent="0.2">
      <c r="B1213" s="2"/>
    </row>
    <row r="1215" spans="2:2" x14ac:dyDescent="0.2">
      <c r="B1215" s="2"/>
    </row>
    <row r="1217" spans="2:2" x14ac:dyDescent="0.2">
      <c r="B1217" s="2"/>
    </row>
    <row r="1219" spans="2:2" x14ac:dyDescent="0.2">
      <c r="B1219" s="2"/>
    </row>
    <row r="1221" spans="2:2" x14ac:dyDescent="0.2">
      <c r="B1221" s="2"/>
    </row>
    <row r="1223" spans="2:2" x14ac:dyDescent="0.2">
      <c r="B1223" s="2"/>
    </row>
    <row r="1225" spans="2:2" x14ac:dyDescent="0.2">
      <c r="B1225" s="2"/>
    </row>
    <row r="1227" spans="2:2" x14ac:dyDescent="0.2">
      <c r="B1227" s="2"/>
    </row>
    <row r="1229" spans="2:2" x14ac:dyDescent="0.2">
      <c r="B1229" s="2"/>
    </row>
    <row r="1231" spans="2:2" x14ac:dyDescent="0.2">
      <c r="B1231" s="2"/>
    </row>
    <row r="1233" spans="2:2" x14ac:dyDescent="0.2">
      <c r="B1233" s="2"/>
    </row>
    <row r="1235" spans="2:2" x14ac:dyDescent="0.2">
      <c r="B1235" s="2"/>
    </row>
    <row r="1237" spans="2:2" x14ac:dyDescent="0.2">
      <c r="B1237" s="2"/>
    </row>
    <row r="1239" spans="2:2" x14ac:dyDescent="0.2">
      <c r="B1239" s="2"/>
    </row>
    <row r="1241" spans="2:2" x14ac:dyDescent="0.2">
      <c r="B1241" s="2"/>
    </row>
    <row r="1243" spans="2:2" x14ac:dyDescent="0.2">
      <c r="B1243" s="2"/>
    </row>
    <row r="1245" spans="2:2" x14ac:dyDescent="0.2">
      <c r="B1245" s="2"/>
    </row>
    <row r="1247" spans="2:2" x14ac:dyDescent="0.2">
      <c r="B1247" s="2"/>
    </row>
    <row r="1249" spans="2:2" x14ac:dyDescent="0.2">
      <c r="B1249" s="2"/>
    </row>
    <row r="1251" spans="2:2" x14ac:dyDescent="0.2">
      <c r="B1251" s="2"/>
    </row>
    <row r="1253" spans="2:2" x14ac:dyDescent="0.2">
      <c r="B1253" s="2"/>
    </row>
    <row r="1255" spans="2:2" x14ac:dyDescent="0.2">
      <c r="B1255" s="2"/>
    </row>
    <row r="1257" spans="2:2" x14ac:dyDescent="0.2">
      <c r="B1257" s="2"/>
    </row>
    <row r="1259" spans="2:2" x14ac:dyDescent="0.2">
      <c r="B1259" s="2"/>
    </row>
    <row r="1261" spans="2:2" x14ac:dyDescent="0.2">
      <c r="B1261" s="2"/>
    </row>
    <row r="1263" spans="2:2" x14ac:dyDescent="0.2">
      <c r="B1263" s="2"/>
    </row>
    <row r="1265" spans="2:2" x14ac:dyDescent="0.2">
      <c r="B1265" s="2"/>
    </row>
    <row r="1267" spans="2:2" x14ac:dyDescent="0.2">
      <c r="B1267" s="2"/>
    </row>
    <row r="1269" spans="2:2" x14ac:dyDescent="0.2">
      <c r="B1269" s="2"/>
    </row>
    <row r="1271" spans="2:2" x14ac:dyDescent="0.2">
      <c r="B1271" s="2"/>
    </row>
    <row r="1273" spans="2:2" x14ac:dyDescent="0.2">
      <c r="B1273" s="2"/>
    </row>
    <row r="1275" spans="2:2" x14ac:dyDescent="0.2">
      <c r="B1275" s="2"/>
    </row>
    <row r="1277" spans="2:2" x14ac:dyDescent="0.2">
      <c r="B1277" s="2"/>
    </row>
    <row r="1279" spans="2:2" x14ac:dyDescent="0.2">
      <c r="B1279" s="2"/>
    </row>
    <row r="1281" spans="2:2" x14ac:dyDescent="0.2">
      <c r="B1281" s="2"/>
    </row>
    <row r="1283" spans="2:2" x14ac:dyDescent="0.2">
      <c r="B1283" s="2"/>
    </row>
    <row r="1285" spans="2:2" x14ac:dyDescent="0.2">
      <c r="B1285" s="2"/>
    </row>
    <row r="1287" spans="2:2" x14ac:dyDescent="0.2">
      <c r="B1287" s="2"/>
    </row>
    <row r="1289" spans="2:2" x14ac:dyDescent="0.2">
      <c r="B1289" s="2"/>
    </row>
    <row r="1291" spans="2:2" x14ac:dyDescent="0.2">
      <c r="B1291" s="2"/>
    </row>
    <row r="1293" spans="2:2" x14ac:dyDescent="0.2">
      <c r="B1293" s="2"/>
    </row>
    <row r="1295" spans="2:2" x14ac:dyDescent="0.2">
      <c r="B1295" s="2"/>
    </row>
    <row r="1297" spans="2:2" x14ac:dyDescent="0.2">
      <c r="B1297" s="2"/>
    </row>
    <row r="1299" spans="2:2" x14ac:dyDescent="0.2">
      <c r="B1299" s="2"/>
    </row>
    <row r="1301" spans="2:2" x14ac:dyDescent="0.2">
      <c r="B1301" s="2"/>
    </row>
    <row r="1303" spans="2:2" x14ac:dyDescent="0.2">
      <c r="B1303" s="2"/>
    </row>
    <row r="1305" spans="2:2" x14ac:dyDescent="0.2">
      <c r="B1305" s="2"/>
    </row>
    <row r="1307" spans="2:2" x14ac:dyDescent="0.2">
      <c r="B1307" s="2"/>
    </row>
    <row r="1309" spans="2:2" x14ac:dyDescent="0.2">
      <c r="B1309" s="2"/>
    </row>
    <row r="1311" spans="2:2" x14ac:dyDescent="0.2">
      <c r="B1311" s="2"/>
    </row>
    <row r="1313" spans="2:2" x14ac:dyDescent="0.2">
      <c r="B1313" s="2"/>
    </row>
    <row r="1315" spans="2:2" x14ac:dyDescent="0.2">
      <c r="B1315" s="2"/>
    </row>
    <row r="1317" spans="2:2" x14ac:dyDescent="0.2">
      <c r="B1317" s="2"/>
    </row>
    <row r="1319" spans="2:2" x14ac:dyDescent="0.2">
      <c r="B1319" s="2"/>
    </row>
    <row r="1321" spans="2:2" x14ac:dyDescent="0.2">
      <c r="B1321" s="2"/>
    </row>
    <row r="1323" spans="2:2" x14ac:dyDescent="0.2">
      <c r="B1323" s="2"/>
    </row>
    <row r="1325" spans="2:2" x14ac:dyDescent="0.2">
      <c r="B1325" s="2"/>
    </row>
    <row r="1327" spans="2:2" x14ac:dyDescent="0.2">
      <c r="B1327" s="2"/>
    </row>
    <row r="1329" spans="2:2" x14ac:dyDescent="0.2">
      <c r="B1329" s="2"/>
    </row>
    <row r="1331" spans="2:2" x14ac:dyDescent="0.2">
      <c r="B1331" s="2"/>
    </row>
    <row r="1333" spans="2:2" x14ac:dyDescent="0.2">
      <c r="B1333" s="2"/>
    </row>
    <row r="1335" spans="2:2" x14ac:dyDescent="0.2">
      <c r="B1335" s="2"/>
    </row>
    <row r="1337" spans="2:2" x14ac:dyDescent="0.2">
      <c r="B1337" s="2"/>
    </row>
    <row r="1339" spans="2:2" x14ac:dyDescent="0.2">
      <c r="B1339" s="2"/>
    </row>
    <row r="1341" spans="2:2" x14ac:dyDescent="0.2">
      <c r="B1341" s="2"/>
    </row>
    <row r="1343" spans="2:2" x14ac:dyDescent="0.2">
      <c r="B1343" s="2"/>
    </row>
    <row r="1345" spans="2:2" x14ac:dyDescent="0.2">
      <c r="B1345" s="2"/>
    </row>
    <row r="1347" spans="2:2" x14ac:dyDescent="0.2">
      <c r="B1347" s="2"/>
    </row>
    <row r="1349" spans="2:2" x14ac:dyDescent="0.2">
      <c r="B1349" s="2"/>
    </row>
    <row r="1351" spans="2:2" x14ac:dyDescent="0.2">
      <c r="B1351" s="2"/>
    </row>
    <row r="1353" spans="2:2" x14ac:dyDescent="0.2">
      <c r="B1353" s="2"/>
    </row>
    <row r="1355" spans="2:2" x14ac:dyDescent="0.2">
      <c r="B1355" s="2"/>
    </row>
    <row r="1357" spans="2:2" x14ac:dyDescent="0.2">
      <c r="B1357" s="2"/>
    </row>
    <row r="1359" spans="2:2" x14ac:dyDescent="0.2">
      <c r="B1359" s="2"/>
    </row>
    <row r="1361" spans="2:2" x14ac:dyDescent="0.2">
      <c r="B1361" s="2"/>
    </row>
    <row r="1363" spans="2:2" x14ac:dyDescent="0.2">
      <c r="B1363" s="2"/>
    </row>
    <row r="1365" spans="2:2" x14ac:dyDescent="0.2">
      <c r="B1365" s="2"/>
    </row>
    <row r="1367" spans="2:2" x14ac:dyDescent="0.2">
      <c r="B1367" s="2"/>
    </row>
    <row r="1369" spans="2:2" x14ac:dyDescent="0.2">
      <c r="B1369" s="2"/>
    </row>
    <row r="1371" spans="2:2" x14ac:dyDescent="0.2">
      <c r="B1371" s="2"/>
    </row>
    <row r="1373" spans="2:2" x14ac:dyDescent="0.2">
      <c r="B1373" s="2"/>
    </row>
    <row r="1375" spans="2:2" x14ac:dyDescent="0.2">
      <c r="B1375" s="2"/>
    </row>
    <row r="1377" spans="2:2" x14ac:dyDescent="0.2">
      <c r="B1377" s="2"/>
    </row>
    <row r="1379" spans="2:2" x14ac:dyDescent="0.2">
      <c r="B1379" s="2"/>
    </row>
    <row r="1381" spans="2:2" x14ac:dyDescent="0.2">
      <c r="B1381" s="2"/>
    </row>
    <row r="1383" spans="2:2" x14ac:dyDescent="0.2">
      <c r="B1383" s="2"/>
    </row>
    <row r="1385" spans="2:2" x14ac:dyDescent="0.2">
      <c r="B1385" s="2"/>
    </row>
    <row r="1387" spans="2:2" x14ac:dyDescent="0.2">
      <c r="B1387" s="2"/>
    </row>
    <row r="1389" spans="2:2" x14ac:dyDescent="0.2">
      <c r="B1389" s="2"/>
    </row>
    <row r="1391" spans="2:2" x14ac:dyDescent="0.2">
      <c r="B1391" s="2"/>
    </row>
    <row r="1393" spans="2:2" x14ac:dyDescent="0.2">
      <c r="B1393" s="2"/>
    </row>
    <row r="1395" spans="2:2" x14ac:dyDescent="0.2">
      <c r="B1395" s="2"/>
    </row>
    <row r="1397" spans="2:2" x14ac:dyDescent="0.2">
      <c r="B1397" s="2"/>
    </row>
    <row r="1399" spans="2:2" x14ac:dyDescent="0.2">
      <c r="B1399" s="2"/>
    </row>
    <row r="1401" spans="2:2" x14ac:dyDescent="0.2">
      <c r="B1401" s="2"/>
    </row>
    <row r="1403" spans="2:2" x14ac:dyDescent="0.2">
      <c r="B1403" s="2"/>
    </row>
    <row r="1405" spans="2:2" x14ac:dyDescent="0.2">
      <c r="B1405" s="2"/>
    </row>
  </sheetData>
  <pageMargins left="0.75" right="0.75" top="1" bottom="1" header="0.5" footer="0.5"/>
  <pageSetup paperSize="8" orientation="landscape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L43"/>
  <sheetViews>
    <sheetView workbookViewId="0">
      <selection activeCell="H14" sqref="H14"/>
    </sheetView>
  </sheetViews>
  <sheetFormatPr baseColWidth="10" defaultRowHeight="15" x14ac:dyDescent="0.2"/>
  <cols>
    <col min="2" max="2" width="18" customWidth="1"/>
    <col min="3" max="3" width="27.83203125" customWidth="1"/>
    <col min="4" max="4" width="19.6640625" customWidth="1"/>
    <col min="8" max="8" width="14.6640625" customWidth="1"/>
    <col min="9" max="9" width="22.1640625" customWidth="1"/>
    <col min="10" max="10" width="23" customWidth="1"/>
  </cols>
  <sheetData>
    <row r="1" spans="1:12" x14ac:dyDescent="0.2">
      <c r="A1" t="s">
        <v>97</v>
      </c>
      <c r="B1" t="s">
        <v>98</v>
      </c>
      <c r="C1" t="s">
        <v>6</v>
      </c>
      <c r="D1" t="s">
        <v>97</v>
      </c>
      <c r="E1" t="s">
        <v>99</v>
      </c>
      <c r="F1" t="s">
        <v>99</v>
      </c>
      <c r="G1">
        <v>15</v>
      </c>
      <c r="H1" t="s">
        <v>98</v>
      </c>
      <c r="I1" t="s">
        <v>6</v>
      </c>
      <c r="J1" t="s">
        <v>97</v>
      </c>
      <c r="K1" t="s">
        <v>99</v>
      </c>
      <c r="L1" t="s">
        <v>66</v>
      </c>
    </row>
    <row r="2" spans="1:12" x14ac:dyDescent="0.2">
      <c r="A2" t="s">
        <v>120</v>
      </c>
      <c r="B2" t="s">
        <v>119</v>
      </c>
      <c r="C2" t="s">
        <v>6</v>
      </c>
      <c r="D2" t="s">
        <v>120</v>
      </c>
      <c r="E2" t="s">
        <v>121</v>
      </c>
      <c r="F2" t="s">
        <v>121</v>
      </c>
      <c r="G2">
        <v>135</v>
      </c>
      <c r="H2" t="s">
        <v>119</v>
      </c>
      <c r="I2" t="s">
        <v>6</v>
      </c>
      <c r="J2" t="s">
        <v>120</v>
      </c>
      <c r="K2" t="s">
        <v>121</v>
      </c>
      <c r="L2" t="s">
        <v>66</v>
      </c>
    </row>
    <row r="3" spans="1:12" x14ac:dyDescent="0.2">
      <c r="A3" t="s">
        <v>72</v>
      </c>
      <c r="B3" t="s">
        <v>71</v>
      </c>
      <c r="C3" t="s">
        <v>6</v>
      </c>
      <c r="D3" t="s">
        <v>72</v>
      </c>
      <c r="E3" t="s">
        <v>73</v>
      </c>
      <c r="F3" t="s">
        <v>73</v>
      </c>
      <c r="G3">
        <v>107</v>
      </c>
      <c r="H3" t="s">
        <v>71</v>
      </c>
      <c r="I3" t="s">
        <v>6</v>
      </c>
      <c r="J3" t="s">
        <v>72</v>
      </c>
      <c r="K3" t="s">
        <v>73</v>
      </c>
      <c r="L3" t="s">
        <v>66</v>
      </c>
    </row>
    <row r="4" spans="1:12" x14ac:dyDescent="0.2">
      <c r="A4" t="s">
        <v>11</v>
      </c>
      <c r="B4" t="s">
        <v>10</v>
      </c>
      <c r="C4" t="s">
        <v>6</v>
      </c>
      <c r="D4" t="s">
        <v>11</v>
      </c>
      <c r="E4" t="s">
        <v>10</v>
      </c>
      <c r="F4" t="s">
        <v>10</v>
      </c>
      <c r="G4">
        <v>22</v>
      </c>
      <c r="H4" t="s">
        <v>10</v>
      </c>
      <c r="I4" t="s">
        <v>6</v>
      </c>
      <c r="J4" t="s">
        <v>11</v>
      </c>
      <c r="K4" t="s">
        <v>10</v>
      </c>
      <c r="L4" t="s">
        <v>66</v>
      </c>
    </row>
    <row r="5" spans="1:12" x14ac:dyDescent="0.2">
      <c r="A5" t="s">
        <v>13</v>
      </c>
      <c r="B5" t="s">
        <v>12</v>
      </c>
      <c r="C5" t="s">
        <v>6</v>
      </c>
      <c r="D5" t="s">
        <v>13</v>
      </c>
      <c r="E5" t="s">
        <v>14</v>
      </c>
      <c r="F5" t="s">
        <v>14</v>
      </c>
      <c r="G5">
        <v>23</v>
      </c>
      <c r="H5" t="s">
        <v>12</v>
      </c>
      <c r="I5" t="s">
        <v>6</v>
      </c>
      <c r="J5" t="s">
        <v>13</v>
      </c>
      <c r="K5" t="s">
        <v>14</v>
      </c>
      <c r="L5" t="s">
        <v>66</v>
      </c>
    </row>
    <row r="6" spans="1:12" x14ac:dyDescent="0.2">
      <c r="A6" t="s">
        <v>15</v>
      </c>
      <c r="B6" t="s">
        <v>76</v>
      </c>
      <c r="C6" t="s">
        <v>6</v>
      </c>
      <c r="D6" t="s">
        <v>15</v>
      </c>
      <c r="E6" t="s">
        <v>77</v>
      </c>
      <c r="F6" t="s">
        <v>77</v>
      </c>
      <c r="G6">
        <v>25</v>
      </c>
      <c r="H6" t="s">
        <v>76</v>
      </c>
      <c r="I6" t="s">
        <v>6</v>
      </c>
      <c r="J6" t="s">
        <v>15</v>
      </c>
      <c r="K6" t="s">
        <v>77</v>
      </c>
      <c r="L6" t="s">
        <v>66</v>
      </c>
    </row>
    <row r="7" spans="1:12" x14ac:dyDescent="0.2">
      <c r="A7" t="s">
        <v>122</v>
      </c>
      <c r="B7" t="s">
        <v>74</v>
      </c>
      <c r="C7" t="s">
        <v>6</v>
      </c>
      <c r="D7" t="s">
        <v>122</v>
      </c>
      <c r="E7" t="s">
        <v>75</v>
      </c>
      <c r="F7" t="s">
        <v>75</v>
      </c>
      <c r="G7">
        <v>86</v>
      </c>
      <c r="H7" t="s">
        <v>74</v>
      </c>
      <c r="I7" t="s">
        <v>6</v>
      </c>
      <c r="J7" t="s">
        <v>122</v>
      </c>
      <c r="K7" t="s">
        <v>75</v>
      </c>
      <c r="L7" t="s">
        <v>66</v>
      </c>
    </row>
    <row r="8" spans="1:12" x14ac:dyDescent="0.2">
      <c r="A8" t="s">
        <v>17</v>
      </c>
      <c r="B8" t="s">
        <v>16</v>
      </c>
      <c r="C8" t="s">
        <v>6</v>
      </c>
      <c r="D8" t="s">
        <v>17</v>
      </c>
      <c r="E8" t="s">
        <v>18</v>
      </c>
      <c r="F8" t="s">
        <v>18</v>
      </c>
      <c r="G8">
        <v>26</v>
      </c>
      <c r="H8" t="s">
        <v>16</v>
      </c>
      <c r="I8" t="s">
        <v>6</v>
      </c>
      <c r="J8" t="s">
        <v>17</v>
      </c>
      <c r="K8" t="s">
        <v>18</v>
      </c>
      <c r="L8" t="s">
        <v>66</v>
      </c>
    </row>
    <row r="9" spans="1:12" x14ac:dyDescent="0.2">
      <c r="A9" t="s">
        <v>142</v>
      </c>
      <c r="B9" t="s">
        <v>143</v>
      </c>
      <c r="C9" t="s">
        <v>6</v>
      </c>
      <c r="D9" t="s">
        <v>142</v>
      </c>
      <c r="E9" t="s">
        <v>143</v>
      </c>
      <c r="F9" t="s">
        <v>143</v>
      </c>
      <c r="G9">
        <v>139</v>
      </c>
      <c r="H9" t="s">
        <v>143</v>
      </c>
      <c r="I9" t="s">
        <v>6</v>
      </c>
      <c r="J9" t="s">
        <v>142</v>
      </c>
      <c r="K9" t="s">
        <v>143</v>
      </c>
      <c r="L9" t="s">
        <v>66</v>
      </c>
    </row>
    <row r="10" spans="1:12" x14ac:dyDescent="0.2">
      <c r="A10" t="s">
        <v>100</v>
      </c>
      <c r="B10" t="s">
        <v>101</v>
      </c>
      <c r="C10" t="s">
        <v>6</v>
      </c>
      <c r="D10" t="s">
        <v>100</v>
      </c>
      <c r="E10" t="s">
        <v>102</v>
      </c>
      <c r="F10" t="s">
        <v>102</v>
      </c>
      <c r="G10">
        <v>75</v>
      </c>
      <c r="H10" t="s">
        <v>101</v>
      </c>
      <c r="I10" t="s">
        <v>6</v>
      </c>
      <c r="J10" t="s">
        <v>100</v>
      </c>
      <c r="K10" t="s">
        <v>102</v>
      </c>
      <c r="L10" t="s">
        <v>66</v>
      </c>
    </row>
    <row r="11" spans="1:12" x14ac:dyDescent="0.2">
      <c r="A11" t="s">
        <v>107</v>
      </c>
      <c r="B11" t="s">
        <v>106</v>
      </c>
      <c r="C11" t="s">
        <v>6</v>
      </c>
      <c r="D11" t="s">
        <v>107</v>
      </c>
      <c r="E11" t="s">
        <v>108</v>
      </c>
      <c r="F11" t="s">
        <v>108</v>
      </c>
      <c r="G11">
        <v>125</v>
      </c>
      <c r="H11" t="s">
        <v>106</v>
      </c>
      <c r="I11" t="s">
        <v>6</v>
      </c>
      <c r="J11" t="s">
        <v>107</v>
      </c>
      <c r="K11" t="s">
        <v>108</v>
      </c>
      <c r="L11" t="s">
        <v>66</v>
      </c>
    </row>
    <row r="12" spans="1:12" x14ac:dyDescent="0.2">
      <c r="A12" t="s">
        <v>144</v>
      </c>
      <c r="B12" t="s">
        <v>145</v>
      </c>
      <c r="C12" t="s">
        <v>6</v>
      </c>
      <c r="D12" t="s">
        <v>144</v>
      </c>
      <c r="E12" t="s">
        <v>145</v>
      </c>
      <c r="F12" t="s">
        <v>145</v>
      </c>
      <c r="G12">
        <v>102</v>
      </c>
      <c r="H12" t="s">
        <v>145</v>
      </c>
      <c r="I12" t="s">
        <v>6</v>
      </c>
      <c r="J12" t="s">
        <v>144</v>
      </c>
      <c r="K12" t="s">
        <v>145</v>
      </c>
      <c r="L12" t="s">
        <v>66</v>
      </c>
    </row>
    <row r="13" spans="1:12" x14ac:dyDescent="0.2">
      <c r="A13" t="s">
        <v>88</v>
      </c>
      <c r="B13" t="s">
        <v>87</v>
      </c>
      <c r="C13" t="s">
        <v>6</v>
      </c>
      <c r="D13" t="s">
        <v>88</v>
      </c>
      <c r="E13" t="s">
        <v>89</v>
      </c>
      <c r="F13" t="s">
        <v>89</v>
      </c>
      <c r="G13">
        <v>108</v>
      </c>
      <c r="H13" t="s">
        <v>87</v>
      </c>
      <c r="I13" t="s">
        <v>6</v>
      </c>
      <c r="J13" t="s">
        <v>88</v>
      </c>
      <c r="K13" t="s">
        <v>89</v>
      </c>
      <c r="L13" t="s">
        <v>66</v>
      </c>
    </row>
    <row r="14" spans="1:12" x14ac:dyDescent="0.2">
      <c r="A14" t="s">
        <v>65</v>
      </c>
      <c r="B14" t="s">
        <v>64</v>
      </c>
      <c r="C14" t="s">
        <v>6</v>
      </c>
      <c r="D14" t="s">
        <v>65</v>
      </c>
      <c r="E14" t="s">
        <v>64</v>
      </c>
      <c r="F14" t="s">
        <v>64</v>
      </c>
      <c r="G14">
        <v>103</v>
      </c>
      <c r="H14" t="s">
        <v>64</v>
      </c>
      <c r="I14" t="s">
        <v>6</v>
      </c>
      <c r="J14" t="s">
        <v>65</v>
      </c>
      <c r="K14" t="s">
        <v>64</v>
      </c>
      <c r="L14" t="s">
        <v>66</v>
      </c>
    </row>
    <row r="15" spans="1:12" x14ac:dyDescent="0.2">
      <c r="A15" t="s">
        <v>113</v>
      </c>
      <c r="B15" t="s">
        <v>114</v>
      </c>
      <c r="C15" t="s">
        <v>6</v>
      </c>
      <c r="D15" t="s">
        <v>113</v>
      </c>
      <c r="E15" t="s">
        <v>115</v>
      </c>
      <c r="F15" t="s">
        <v>115</v>
      </c>
      <c r="G15">
        <v>131</v>
      </c>
      <c r="H15" t="s">
        <v>114</v>
      </c>
      <c r="I15" t="s">
        <v>6</v>
      </c>
      <c r="J15" t="s">
        <v>113</v>
      </c>
      <c r="K15" t="s">
        <v>115</v>
      </c>
      <c r="L15" t="s">
        <v>66</v>
      </c>
    </row>
    <row r="16" spans="1:12" x14ac:dyDescent="0.2">
      <c r="A16" t="s">
        <v>146</v>
      </c>
      <c r="B16" t="s">
        <v>147</v>
      </c>
      <c r="C16" t="s">
        <v>6</v>
      </c>
      <c r="D16" t="s">
        <v>146</v>
      </c>
      <c r="E16" t="s">
        <v>147</v>
      </c>
      <c r="F16" t="s">
        <v>147</v>
      </c>
      <c r="G16">
        <v>140</v>
      </c>
      <c r="H16" t="s">
        <v>147</v>
      </c>
      <c r="I16" t="s">
        <v>6</v>
      </c>
      <c r="J16" t="s">
        <v>146</v>
      </c>
      <c r="K16" t="s">
        <v>147</v>
      </c>
      <c r="L16" t="s">
        <v>66</v>
      </c>
    </row>
    <row r="17" spans="1:12" x14ac:dyDescent="0.2">
      <c r="A17" t="s">
        <v>136</v>
      </c>
      <c r="B17" t="s">
        <v>148</v>
      </c>
      <c r="C17" t="s">
        <v>6</v>
      </c>
      <c r="D17" t="s">
        <v>136</v>
      </c>
      <c r="E17" t="s">
        <v>7</v>
      </c>
      <c r="F17" t="s">
        <v>7</v>
      </c>
      <c r="G17">
        <v>74</v>
      </c>
      <c r="H17" t="s">
        <v>148</v>
      </c>
      <c r="I17" t="s">
        <v>6</v>
      </c>
      <c r="J17" t="s">
        <v>136</v>
      </c>
      <c r="K17" t="s">
        <v>7</v>
      </c>
      <c r="L17" t="s">
        <v>66</v>
      </c>
    </row>
    <row r="18" spans="1:12" x14ac:dyDescent="0.2">
      <c r="A18" t="s">
        <v>103</v>
      </c>
      <c r="B18" t="s">
        <v>104</v>
      </c>
      <c r="C18" t="s">
        <v>6</v>
      </c>
      <c r="D18" t="s">
        <v>103</v>
      </c>
      <c r="E18" t="s">
        <v>105</v>
      </c>
      <c r="F18" t="s">
        <v>105</v>
      </c>
      <c r="G18">
        <v>115</v>
      </c>
      <c r="H18" t="s">
        <v>104</v>
      </c>
      <c r="I18" t="s">
        <v>6</v>
      </c>
      <c r="J18" t="s">
        <v>103</v>
      </c>
      <c r="K18" t="s">
        <v>105</v>
      </c>
      <c r="L18" t="s">
        <v>66</v>
      </c>
    </row>
    <row r="19" spans="1:12" x14ac:dyDescent="0.2">
      <c r="A19" t="s">
        <v>123</v>
      </c>
      <c r="B19" t="s">
        <v>90</v>
      </c>
      <c r="C19" t="s">
        <v>6</v>
      </c>
      <c r="D19" t="s">
        <v>123</v>
      </c>
      <c r="E19" t="s">
        <v>91</v>
      </c>
      <c r="F19" t="s">
        <v>91</v>
      </c>
      <c r="G19">
        <v>113</v>
      </c>
      <c r="H19" t="s">
        <v>90</v>
      </c>
      <c r="I19" t="s">
        <v>6</v>
      </c>
      <c r="J19" t="s">
        <v>123</v>
      </c>
      <c r="K19" t="s">
        <v>91</v>
      </c>
      <c r="L19" t="s">
        <v>66</v>
      </c>
    </row>
    <row r="20" spans="1:12" x14ac:dyDescent="0.2">
      <c r="A20" t="s">
        <v>158</v>
      </c>
      <c r="B20" t="s">
        <v>159</v>
      </c>
      <c r="C20" t="s">
        <v>6</v>
      </c>
      <c r="D20" t="s">
        <v>158</v>
      </c>
      <c r="E20" t="s">
        <v>160</v>
      </c>
      <c r="F20" t="s">
        <v>160</v>
      </c>
      <c r="G20">
        <v>144</v>
      </c>
      <c r="H20" t="s">
        <v>159</v>
      </c>
      <c r="I20" t="s">
        <v>6</v>
      </c>
      <c r="J20" t="s">
        <v>158</v>
      </c>
      <c r="K20" t="s">
        <v>160</v>
      </c>
      <c r="L20" t="s">
        <v>66</v>
      </c>
    </row>
    <row r="21" spans="1:12" x14ac:dyDescent="0.2">
      <c r="A21" t="s">
        <v>124</v>
      </c>
      <c r="B21" t="s">
        <v>8</v>
      </c>
      <c r="C21" t="s">
        <v>6</v>
      </c>
      <c r="D21" t="s">
        <v>124</v>
      </c>
      <c r="E21" t="s">
        <v>9</v>
      </c>
      <c r="F21" t="s">
        <v>9</v>
      </c>
      <c r="G21">
        <v>16</v>
      </c>
      <c r="H21" t="s">
        <v>8</v>
      </c>
      <c r="I21" t="s">
        <v>6</v>
      </c>
      <c r="J21" t="s">
        <v>124</v>
      </c>
      <c r="K21" t="s">
        <v>9</v>
      </c>
      <c r="L21" t="s">
        <v>66</v>
      </c>
    </row>
    <row r="22" spans="1:12" x14ac:dyDescent="0.2">
      <c r="A22" t="s">
        <v>149</v>
      </c>
      <c r="B22" t="s">
        <v>150</v>
      </c>
      <c r="D22" t="s">
        <v>149</v>
      </c>
      <c r="E22" t="s">
        <v>151</v>
      </c>
      <c r="F22" t="s">
        <v>151</v>
      </c>
      <c r="G22">
        <v>142</v>
      </c>
      <c r="H22" t="s">
        <v>150</v>
      </c>
      <c r="J22" t="s">
        <v>149</v>
      </c>
      <c r="K22" t="s">
        <v>151</v>
      </c>
      <c r="L22" t="s">
        <v>66</v>
      </c>
    </row>
    <row r="23" spans="1:12" x14ac:dyDescent="0.2">
      <c r="A23" t="s">
        <v>21</v>
      </c>
      <c r="B23" t="s">
        <v>19</v>
      </c>
      <c r="C23" t="s">
        <v>20</v>
      </c>
      <c r="D23" t="s">
        <v>21</v>
      </c>
      <c r="E23" t="s">
        <v>22</v>
      </c>
      <c r="F23" t="s">
        <v>22</v>
      </c>
      <c r="G23">
        <v>85</v>
      </c>
      <c r="H23" t="s">
        <v>19</v>
      </c>
      <c r="I23" t="s">
        <v>20</v>
      </c>
      <c r="J23" t="s">
        <v>21</v>
      </c>
      <c r="K23" t="s">
        <v>22</v>
      </c>
      <c r="L23" t="s">
        <v>66</v>
      </c>
    </row>
    <row r="24" spans="1:12" x14ac:dyDescent="0.2">
      <c r="A24" t="s">
        <v>161</v>
      </c>
      <c r="B24" t="s">
        <v>162</v>
      </c>
      <c r="D24" t="s">
        <v>161</v>
      </c>
      <c r="E24" t="s">
        <v>163</v>
      </c>
      <c r="F24" t="s">
        <v>163</v>
      </c>
      <c r="G24">
        <v>128</v>
      </c>
      <c r="H24" t="s">
        <v>162</v>
      </c>
      <c r="J24" t="s">
        <v>161</v>
      </c>
      <c r="K24" t="s">
        <v>163</v>
      </c>
      <c r="L24" t="s">
        <v>66</v>
      </c>
    </row>
    <row r="25" spans="1:12" x14ac:dyDescent="0.2">
      <c r="A25" t="s">
        <v>56</v>
      </c>
      <c r="B25" t="s">
        <v>59</v>
      </c>
      <c r="C25" t="s">
        <v>62</v>
      </c>
      <c r="D25" t="s">
        <v>56</v>
      </c>
      <c r="E25" t="s">
        <v>57</v>
      </c>
      <c r="F25" t="s">
        <v>57</v>
      </c>
      <c r="G25">
        <v>36</v>
      </c>
      <c r="H25" t="s">
        <v>59</v>
      </c>
      <c r="I25" t="s">
        <v>62</v>
      </c>
      <c r="J25" t="s">
        <v>56</v>
      </c>
      <c r="K25" t="s">
        <v>57</v>
      </c>
      <c r="L25" t="s">
        <v>66</v>
      </c>
    </row>
    <row r="26" spans="1:12" x14ac:dyDescent="0.2">
      <c r="A26" t="s">
        <v>164</v>
      </c>
      <c r="B26" t="s">
        <v>165</v>
      </c>
      <c r="C26" t="s">
        <v>166</v>
      </c>
      <c r="D26" t="s">
        <v>164</v>
      </c>
      <c r="E26" t="s">
        <v>167</v>
      </c>
      <c r="F26" t="s">
        <v>167</v>
      </c>
      <c r="G26">
        <v>143</v>
      </c>
      <c r="H26" t="s">
        <v>165</v>
      </c>
      <c r="I26" t="s">
        <v>166</v>
      </c>
      <c r="J26" t="s">
        <v>164</v>
      </c>
      <c r="K26" t="s">
        <v>167</v>
      </c>
      <c r="L26" t="s">
        <v>66</v>
      </c>
    </row>
    <row r="27" spans="1:12" x14ac:dyDescent="0.2">
      <c r="A27" t="s">
        <v>109</v>
      </c>
      <c r="B27" t="s">
        <v>116</v>
      </c>
      <c r="C27" t="s">
        <v>23</v>
      </c>
      <c r="D27" t="s">
        <v>109</v>
      </c>
      <c r="E27" t="s">
        <v>117</v>
      </c>
      <c r="F27" t="s">
        <v>117</v>
      </c>
      <c r="G27">
        <v>43</v>
      </c>
      <c r="H27" t="s">
        <v>116</v>
      </c>
      <c r="I27" t="s">
        <v>23</v>
      </c>
      <c r="J27" t="s">
        <v>109</v>
      </c>
      <c r="K27" t="s">
        <v>117</v>
      </c>
      <c r="L27" t="s">
        <v>66</v>
      </c>
    </row>
    <row r="28" spans="1:12" x14ac:dyDescent="0.2">
      <c r="A28" t="s">
        <v>126</v>
      </c>
      <c r="B28" t="s">
        <v>125</v>
      </c>
      <c r="C28" t="s">
        <v>63</v>
      </c>
      <c r="D28" t="s">
        <v>126</v>
      </c>
      <c r="E28" t="s">
        <v>24</v>
      </c>
      <c r="F28" t="s">
        <v>24</v>
      </c>
      <c r="G28">
        <v>95</v>
      </c>
      <c r="H28" t="s">
        <v>125</v>
      </c>
      <c r="I28" t="s">
        <v>63</v>
      </c>
      <c r="J28" t="s">
        <v>126</v>
      </c>
      <c r="K28" t="s">
        <v>24</v>
      </c>
      <c r="L28" t="s">
        <v>66</v>
      </c>
    </row>
    <row r="29" spans="1:12" x14ac:dyDescent="0.2">
      <c r="A29" t="s">
        <v>83</v>
      </c>
      <c r="B29" t="s">
        <v>82</v>
      </c>
      <c r="C29" t="s">
        <v>152</v>
      </c>
      <c r="D29" t="s">
        <v>83</v>
      </c>
      <c r="E29" t="s">
        <v>58</v>
      </c>
      <c r="F29" t="s">
        <v>58</v>
      </c>
      <c r="G29">
        <v>44</v>
      </c>
      <c r="H29" t="s">
        <v>82</v>
      </c>
      <c r="I29" t="s">
        <v>152</v>
      </c>
      <c r="J29" t="s">
        <v>83</v>
      </c>
      <c r="K29" t="s">
        <v>58</v>
      </c>
      <c r="L29" t="s">
        <v>66</v>
      </c>
    </row>
    <row r="30" spans="1:12" x14ac:dyDescent="0.2">
      <c r="A30" t="s">
        <v>27</v>
      </c>
      <c r="B30" t="s">
        <v>25</v>
      </c>
      <c r="C30" t="s">
        <v>26</v>
      </c>
      <c r="D30" t="s">
        <v>27</v>
      </c>
      <c r="E30" t="s">
        <v>25</v>
      </c>
      <c r="F30" t="s">
        <v>25</v>
      </c>
      <c r="G30">
        <v>49</v>
      </c>
      <c r="H30" t="s">
        <v>25</v>
      </c>
      <c r="I30" t="s">
        <v>26</v>
      </c>
      <c r="J30" t="s">
        <v>27</v>
      </c>
      <c r="K30" t="s">
        <v>25</v>
      </c>
      <c r="L30" t="s">
        <v>66</v>
      </c>
    </row>
    <row r="31" spans="1:12" x14ac:dyDescent="0.2">
      <c r="A31" t="s">
        <v>111</v>
      </c>
      <c r="B31" t="s">
        <v>110</v>
      </c>
      <c r="C31" t="s">
        <v>26</v>
      </c>
      <c r="D31" t="s">
        <v>111</v>
      </c>
      <c r="E31" t="s">
        <v>92</v>
      </c>
      <c r="F31" t="s">
        <v>92</v>
      </c>
      <c r="G31">
        <v>78</v>
      </c>
      <c r="H31" t="s">
        <v>110</v>
      </c>
      <c r="I31" t="s">
        <v>26</v>
      </c>
      <c r="J31" t="s">
        <v>111</v>
      </c>
      <c r="K31" t="s">
        <v>92</v>
      </c>
      <c r="L31" t="s">
        <v>66</v>
      </c>
    </row>
    <row r="32" spans="1:12" x14ac:dyDescent="0.2">
      <c r="A32" t="s">
        <v>153</v>
      </c>
      <c r="B32" t="s">
        <v>28</v>
      </c>
      <c r="C32" t="s">
        <v>29</v>
      </c>
      <c r="D32" t="s">
        <v>153</v>
      </c>
      <c r="E32" t="s">
        <v>30</v>
      </c>
      <c r="F32" t="s">
        <v>30</v>
      </c>
      <c r="G32">
        <v>50</v>
      </c>
      <c r="H32" t="s">
        <v>28</v>
      </c>
      <c r="I32" t="s">
        <v>29</v>
      </c>
      <c r="J32" t="s">
        <v>153</v>
      </c>
      <c r="K32" t="s">
        <v>30</v>
      </c>
      <c r="L32" t="s">
        <v>66</v>
      </c>
    </row>
    <row r="33" spans="1:12" x14ac:dyDescent="0.2">
      <c r="A33" t="s">
        <v>33</v>
      </c>
      <c r="B33" t="s">
        <v>31</v>
      </c>
      <c r="C33" t="s">
        <v>32</v>
      </c>
      <c r="D33" t="s">
        <v>33</v>
      </c>
      <c r="E33" t="s">
        <v>34</v>
      </c>
      <c r="F33" t="s">
        <v>34</v>
      </c>
      <c r="G33">
        <v>55</v>
      </c>
      <c r="H33" t="s">
        <v>31</v>
      </c>
      <c r="I33" t="s">
        <v>32</v>
      </c>
      <c r="J33" t="s">
        <v>33</v>
      </c>
      <c r="K33" t="s">
        <v>34</v>
      </c>
      <c r="L33" t="s">
        <v>66</v>
      </c>
    </row>
    <row r="34" spans="1:12" x14ac:dyDescent="0.2">
      <c r="A34" t="s">
        <v>37</v>
      </c>
      <c r="B34" t="s">
        <v>35</v>
      </c>
      <c r="C34" t="s">
        <v>36</v>
      </c>
      <c r="D34" t="s">
        <v>37</v>
      </c>
      <c r="E34" t="s">
        <v>35</v>
      </c>
      <c r="F34" t="s">
        <v>35</v>
      </c>
      <c r="G34">
        <v>58</v>
      </c>
      <c r="H34" t="s">
        <v>35</v>
      </c>
      <c r="I34" t="s">
        <v>36</v>
      </c>
      <c r="J34" t="s">
        <v>37</v>
      </c>
      <c r="K34" t="s">
        <v>35</v>
      </c>
      <c r="L34" t="s">
        <v>66</v>
      </c>
    </row>
    <row r="35" spans="1:12" x14ac:dyDescent="0.2">
      <c r="A35" t="s">
        <v>39</v>
      </c>
      <c r="B35" t="s">
        <v>38</v>
      </c>
      <c r="C35" t="s">
        <v>32</v>
      </c>
      <c r="D35" t="s">
        <v>39</v>
      </c>
      <c r="E35" t="s">
        <v>40</v>
      </c>
      <c r="F35" t="s">
        <v>40</v>
      </c>
      <c r="G35">
        <v>97</v>
      </c>
      <c r="H35" t="s">
        <v>38</v>
      </c>
      <c r="I35" t="s">
        <v>32</v>
      </c>
      <c r="J35" t="s">
        <v>39</v>
      </c>
      <c r="K35" t="s">
        <v>40</v>
      </c>
      <c r="L35" t="s">
        <v>66</v>
      </c>
    </row>
    <row r="36" spans="1:12" x14ac:dyDescent="0.2">
      <c r="A36" t="s">
        <v>128</v>
      </c>
      <c r="B36" t="s">
        <v>127</v>
      </c>
      <c r="D36" t="s">
        <v>128</v>
      </c>
      <c r="E36" t="s">
        <v>129</v>
      </c>
      <c r="F36" t="s">
        <v>129</v>
      </c>
      <c r="G36">
        <v>136</v>
      </c>
      <c r="H36" t="s">
        <v>127</v>
      </c>
      <c r="J36" t="s">
        <v>128</v>
      </c>
      <c r="K36" t="s">
        <v>129</v>
      </c>
      <c r="L36" t="s">
        <v>66</v>
      </c>
    </row>
    <row r="37" spans="1:12" x14ac:dyDescent="0.2">
      <c r="A37" t="s">
        <v>131</v>
      </c>
      <c r="B37" t="s">
        <v>130</v>
      </c>
      <c r="D37" t="s">
        <v>131</v>
      </c>
      <c r="E37" t="s">
        <v>132</v>
      </c>
      <c r="F37" t="s">
        <v>132</v>
      </c>
      <c r="G37">
        <v>137</v>
      </c>
      <c r="H37" t="s">
        <v>130</v>
      </c>
      <c r="J37" t="s">
        <v>131</v>
      </c>
      <c r="K37" t="s">
        <v>132</v>
      </c>
      <c r="L37" t="s">
        <v>66</v>
      </c>
    </row>
    <row r="38" spans="1:12" x14ac:dyDescent="0.2">
      <c r="A38" t="s">
        <v>168</v>
      </c>
      <c r="B38" t="s">
        <v>169</v>
      </c>
      <c r="D38" t="s">
        <v>168</v>
      </c>
      <c r="E38" t="s">
        <v>170</v>
      </c>
      <c r="F38" t="s">
        <v>170</v>
      </c>
      <c r="G38">
        <v>134</v>
      </c>
      <c r="H38" t="s">
        <v>169</v>
      </c>
      <c r="J38" t="s">
        <v>168</v>
      </c>
      <c r="K38" t="s">
        <v>170</v>
      </c>
      <c r="L38" t="s">
        <v>66</v>
      </c>
    </row>
    <row r="39" spans="1:12" x14ac:dyDescent="0.2">
      <c r="A39" t="s">
        <v>154</v>
      </c>
      <c r="B39" t="s">
        <v>155</v>
      </c>
      <c r="D39" t="s">
        <v>154</v>
      </c>
      <c r="E39" t="s">
        <v>156</v>
      </c>
      <c r="F39" t="s">
        <v>156</v>
      </c>
      <c r="G39">
        <v>141</v>
      </c>
      <c r="H39" t="s">
        <v>155</v>
      </c>
      <c r="J39" t="s">
        <v>154</v>
      </c>
      <c r="K39" t="s">
        <v>156</v>
      </c>
      <c r="L39" t="s">
        <v>66</v>
      </c>
    </row>
    <row r="40" spans="1:12" x14ac:dyDescent="0.2">
      <c r="A40" t="s">
        <v>133</v>
      </c>
      <c r="B40" t="s">
        <v>78</v>
      </c>
      <c r="C40" t="s">
        <v>79</v>
      </c>
      <c r="D40" t="s">
        <v>133</v>
      </c>
      <c r="E40" t="s">
        <v>80</v>
      </c>
      <c r="F40" t="s">
        <v>80</v>
      </c>
      <c r="G40">
        <v>106</v>
      </c>
      <c r="H40" t="s">
        <v>78</v>
      </c>
      <c r="I40" t="s">
        <v>79</v>
      </c>
      <c r="J40" t="s">
        <v>133</v>
      </c>
      <c r="K40" t="s">
        <v>80</v>
      </c>
      <c r="L40" t="s">
        <v>66</v>
      </c>
    </row>
    <row r="41" spans="1:12" x14ac:dyDescent="0.2">
      <c r="A41" t="s">
        <v>94</v>
      </c>
      <c r="B41" t="s">
        <v>93</v>
      </c>
      <c r="C41" t="s">
        <v>81</v>
      </c>
      <c r="D41" t="s">
        <v>94</v>
      </c>
      <c r="E41" t="s">
        <v>95</v>
      </c>
      <c r="F41" t="s">
        <v>95</v>
      </c>
      <c r="G41">
        <v>114</v>
      </c>
      <c r="H41" t="s">
        <v>93</v>
      </c>
      <c r="I41" t="s">
        <v>81</v>
      </c>
      <c r="J41" t="s">
        <v>94</v>
      </c>
      <c r="K41" t="s">
        <v>95</v>
      </c>
      <c r="L41" t="s">
        <v>66</v>
      </c>
    </row>
    <row r="42" spans="1:12" x14ac:dyDescent="0.2">
      <c r="A42" t="s">
        <v>134</v>
      </c>
      <c r="B42" t="s">
        <v>41</v>
      </c>
      <c r="C42" t="s">
        <v>96</v>
      </c>
      <c r="D42" t="s">
        <v>134</v>
      </c>
      <c r="E42" t="s">
        <v>41</v>
      </c>
      <c r="F42" t="s">
        <v>41</v>
      </c>
      <c r="G42">
        <v>99</v>
      </c>
      <c r="H42" t="s">
        <v>41</v>
      </c>
      <c r="I42" t="s">
        <v>96</v>
      </c>
      <c r="J42" t="s">
        <v>134</v>
      </c>
      <c r="K42" t="s">
        <v>41</v>
      </c>
      <c r="L42" t="s">
        <v>66</v>
      </c>
    </row>
    <row r="43" spans="1:12" x14ac:dyDescent="0.2">
      <c r="A43" t="s">
        <v>135</v>
      </c>
      <c r="B43" t="s">
        <v>42</v>
      </c>
      <c r="C43" t="s">
        <v>157</v>
      </c>
      <c r="D43" t="s">
        <v>135</v>
      </c>
      <c r="E43" t="s">
        <v>42</v>
      </c>
      <c r="F43" t="s">
        <v>42</v>
      </c>
      <c r="G43">
        <v>72</v>
      </c>
      <c r="H43" t="s">
        <v>42</v>
      </c>
      <c r="I43" t="s">
        <v>157</v>
      </c>
      <c r="J43" t="s">
        <v>135</v>
      </c>
      <c r="K43" t="s">
        <v>42</v>
      </c>
      <c r="L43" t="s">
        <v>66</v>
      </c>
    </row>
  </sheetData>
  <pageMargins left="0.7" right="0.7" top="0.75" bottom="0.75" header="0.3" footer="0.3"/>
  <pageSetup paperSize="8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E4-2016</vt:lpstr>
      <vt:lpstr>Affectations</vt:lpstr>
      <vt:lpstr>convoc-candidats</vt:lpstr>
      <vt:lpstr>Etablissements</vt:lpstr>
      <vt:lpstr>Affectations!Zone_d_impression</vt:lpstr>
      <vt:lpstr>'E4-2016'!Zone_d_impression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</dc:creator>
  <cp:lastModifiedBy>Frédéric Varni</cp:lastModifiedBy>
  <cp:lastPrinted>2022-04-19T12:23:27Z</cp:lastPrinted>
  <dcterms:created xsi:type="dcterms:W3CDTF">2013-01-22T21:18:40Z</dcterms:created>
  <dcterms:modified xsi:type="dcterms:W3CDTF">2023-06-07T12:11:25Z</dcterms:modified>
</cp:coreProperties>
</file>