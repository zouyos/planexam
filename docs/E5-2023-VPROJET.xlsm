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BC58C6B1-8752-B0C3-C2C4-DFD462C6FBC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d3cf99a0c059696/Documents/projects/Java/planexam/docs/"/>
    </mc:Choice>
  </mc:AlternateContent>
  <xr:revisionPtr revIDLastSave="74" documentId="13_ncr:1_{FAD9EB47-0322-6944-AFDA-A0A148831580}" xr6:coauthVersionLast="47" xr6:coauthVersionMax="47" xr10:uidLastSave="{1E7C4621-775B-47C7-BBF3-7F5DD8B4090F}"/>
  <bookViews>
    <workbookView xWindow="-120" yWindow="-120" windowWidth="29040" windowHeight="15840" activeTab="1" xr2:uid="{FCD482E3-221C-6349-B6D4-3EC9B786604C}"/>
  </bookViews>
  <sheets>
    <sheet name="E4-2016" sheetId="1" r:id="rId1"/>
    <sheet name="Affectations" sheetId="2" r:id="rId2"/>
    <sheet name="convoc-candidats" sheetId="3" r:id="rId3"/>
    <sheet name="Etablissements" sheetId="7" r:id="rId4"/>
    <sheet name="SISR" sheetId="4" r:id="rId5"/>
    <sheet name="SLAM" sheetId="5" r:id="rId6"/>
    <sheet name="SI" sheetId="6" r:id="rId7"/>
    <sheet name="verif-jurys" sheetId="8" r:id="rId8"/>
    <sheet name="CONVOCATIONS" sheetId="9" r:id="rId9"/>
  </sheets>
  <definedNames>
    <definedName name="_xlnm.Print_Area" localSheetId="1">Affectations!$A$1:$AJ$46</definedName>
    <definedName name="_xlnm.Print_Area" localSheetId="0">'E4-2016'!$A$1:$G$47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72" i="5" l="1"/>
  <c r="AP71" i="5"/>
  <c r="AP70" i="5"/>
  <c r="AP69" i="5"/>
  <c r="AP68" i="5"/>
  <c r="AP67" i="5"/>
  <c r="AP66" i="5"/>
  <c r="AP65" i="5"/>
  <c r="AP73" i="5"/>
  <c r="AR68" i="4" l="1"/>
  <c r="AR69" i="4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3" i="2"/>
  <c r="G45" i="1"/>
  <c r="I45" i="1"/>
  <c r="I44" i="1"/>
  <c r="I43" i="1"/>
  <c r="G39" i="1"/>
  <c r="G40" i="1"/>
  <c r="G41" i="1"/>
  <c r="G42" i="1"/>
  <c r="G43" i="1"/>
  <c r="G4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" i="1"/>
  <c r="I42" i="1"/>
  <c r="AN5" i="8" l="1"/>
  <c r="AO5" i="8"/>
  <c r="AN6" i="8"/>
  <c r="AO6" i="8"/>
  <c r="AN7" i="8"/>
  <c r="AO7" i="8"/>
  <c r="AN8" i="8"/>
  <c r="AO8" i="8"/>
  <c r="AN9" i="8"/>
  <c r="AO9" i="8"/>
  <c r="AN10" i="8"/>
  <c r="AO10" i="8"/>
  <c r="AN11" i="8"/>
  <c r="AO11" i="8"/>
  <c r="AN12" i="8"/>
  <c r="AO12" i="8"/>
  <c r="AN13" i="8"/>
  <c r="AO13" i="8"/>
  <c r="AN14" i="8"/>
  <c r="AO14" i="8"/>
  <c r="AN15" i="8"/>
  <c r="AO15" i="8"/>
  <c r="AN16" i="8"/>
  <c r="AO16" i="8"/>
  <c r="AN17" i="8"/>
  <c r="AO17" i="8"/>
  <c r="AN18" i="8"/>
  <c r="AO18" i="8"/>
  <c r="AN19" i="8"/>
  <c r="AO19" i="8"/>
  <c r="AN20" i="8"/>
  <c r="AO20" i="8"/>
  <c r="AN21" i="8"/>
  <c r="AO21" i="8"/>
  <c r="AN22" i="8"/>
  <c r="AO22" i="8"/>
  <c r="AN23" i="8"/>
  <c r="AO23" i="8"/>
  <c r="AN24" i="8"/>
  <c r="AO24" i="8"/>
  <c r="AN25" i="8"/>
  <c r="AO25" i="8"/>
  <c r="AN26" i="8"/>
  <c r="AO26" i="8"/>
  <c r="AN27" i="8"/>
  <c r="AO27" i="8"/>
  <c r="AN28" i="8"/>
  <c r="AO28" i="8"/>
  <c r="AN29" i="8"/>
  <c r="AO29" i="8"/>
  <c r="AN30" i="8"/>
  <c r="AO30" i="8"/>
  <c r="AN31" i="8"/>
  <c r="AO31" i="8"/>
  <c r="AN32" i="8"/>
  <c r="AO32" i="8"/>
  <c r="AN33" i="8"/>
  <c r="AO33" i="8"/>
  <c r="AN34" i="8"/>
  <c r="AO34" i="8"/>
  <c r="AN35" i="8"/>
  <c r="AO35" i="8"/>
  <c r="AN36" i="8"/>
  <c r="AO36" i="8"/>
  <c r="AN37" i="8"/>
  <c r="AO37" i="8"/>
  <c r="AN38" i="8"/>
  <c r="AO38" i="8"/>
  <c r="AN39" i="8"/>
  <c r="AO39" i="8"/>
  <c r="AN40" i="8"/>
  <c r="AO40" i="8"/>
  <c r="AN41" i="8"/>
  <c r="AO41" i="8"/>
  <c r="AN42" i="8"/>
  <c r="AO42" i="8"/>
  <c r="AN43" i="8"/>
  <c r="AO43" i="8"/>
  <c r="AN44" i="8"/>
  <c r="AO44" i="8"/>
  <c r="AN45" i="8"/>
  <c r="AO45" i="8"/>
  <c r="AN46" i="8"/>
  <c r="AO46" i="8"/>
  <c r="AO4" i="8"/>
  <c r="AN4" i="8"/>
  <c r="AL5" i="8"/>
  <c r="AM5" i="8"/>
  <c r="AL6" i="8"/>
  <c r="AM6" i="8"/>
  <c r="AL7" i="8"/>
  <c r="AM7" i="8"/>
  <c r="AL8" i="8"/>
  <c r="AM8" i="8"/>
  <c r="AL9" i="8"/>
  <c r="AM9" i="8"/>
  <c r="AL10" i="8"/>
  <c r="AM10" i="8"/>
  <c r="AL11" i="8"/>
  <c r="AM11" i="8"/>
  <c r="AL12" i="8"/>
  <c r="AM12" i="8"/>
  <c r="AL13" i="8"/>
  <c r="AM13" i="8"/>
  <c r="AL14" i="8"/>
  <c r="AM14" i="8"/>
  <c r="AL15" i="8"/>
  <c r="AM15" i="8"/>
  <c r="AL16" i="8"/>
  <c r="AM16" i="8"/>
  <c r="AL17" i="8"/>
  <c r="AM17" i="8"/>
  <c r="AL18" i="8"/>
  <c r="AM18" i="8"/>
  <c r="AL19" i="8"/>
  <c r="AM19" i="8"/>
  <c r="AL20" i="8"/>
  <c r="AM20" i="8"/>
  <c r="AL21" i="8"/>
  <c r="AM21" i="8"/>
  <c r="AL22" i="8"/>
  <c r="AM22" i="8"/>
  <c r="AL23" i="8"/>
  <c r="AM23" i="8"/>
  <c r="AL24" i="8"/>
  <c r="AM24" i="8"/>
  <c r="AL25" i="8"/>
  <c r="AM25" i="8"/>
  <c r="AL26" i="8"/>
  <c r="AM26" i="8"/>
  <c r="AL27" i="8"/>
  <c r="AM27" i="8"/>
  <c r="AL28" i="8"/>
  <c r="AM28" i="8"/>
  <c r="AL29" i="8"/>
  <c r="AM29" i="8"/>
  <c r="AL30" i="8"/>
  <c r="AM30" i="8"/>
  <c r="AL31" i="8"/>
  <c r="AM31" i="8"/>
  <c r="AL32" i="8"/>
  <c r="AM32" i="8"/>
  <c r="AL33" i="8"/>
  <c r="AM33" i="8"/>
  <c r="AL34" i="8"/>
  <c r="AM34" i="8"/>
  <c r="AL35" i="8"/>
  <c r="AM35" i="8"/>
  <c r="AL36" i="8"/>
  <c r="AM36" i="8"/>
  <c r="AL37" i="8"/>
  <c r="AM37" i="8"/>
  <c r="AL38" i="8"/>
  <c r="AM38" i="8"/>
  <c r="AL39" i="8"/>
  <c r="AM39" i="8"/>
  <c r="AL40" i="8"/>
  <c r="AM40" i="8"/>
  <c r="AL41" i="8"/>
  <c r="AM41" i="8"/>
  <c r="AL42" i="8"/>
  <c r="AM42" i="8"/>
  <c r="AL43" i="8"/>
  <c r="AM43" i="8"/>
  <c r="AL44" i="8"/>
  <c r="AM44" i="8"/>
  <c r="AL45" i="8"/>
  <c r="AM45" i="8"/>
  <c r="AL46" i="8"/>
  <c r="AM46" i="8"/>
  <c r="AL4" i="8"/>
  <c r="AM4" i="8"/>
  <c r="I15" i="1" l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6" i="1"/>
  <c r="I4" i="1"/>
  <c r="I5" i="1"/>
  <c r="I6" i="1"/>
  <c r="I7" i="1"/>
  <c r="I8" i="1"/>
  <c r="I9" i="1"/>
  <c r="I10" i="1"/>
  <c r="I11" i="1"/>
  <c r="I12" i="1"/>
  <c r="I13" i="1"/>
  <c r="I14" i="1"/>
  <c r="I3" i="1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5" i="8"/>
  <c r="D5" i="8"/>
  <c r="E5" i="8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O23" i="8"/>
  <c r="N23" i="8"/>
  <c r="AR4" i="4"/>
  <c r="AR5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3" i="4"/>
  <c r="AP31" i="5"/>
  <c r="AP4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3" i="5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L92" i="8" l="1"/>
  <c r="AM92" i="8"/>
  <c r="AN92" i="8"/>
  <c r="AO92" i="8"/>
  <c r="AL90" i="8"/>
  <c r="AM90" i="8"/>
  <c r="AN90" i="8"/>
  <c r="AO90" i="8"/>
  <c r="AL91" i="8"/>
  <c r="AM91" i="8"/>
  <c r="AN91" i="8"/>
  <c r="AO91" i="8"/>
  <c r="I46" i="1"/>
  <c r="AM88" i="8"/>
  <c r="AL88" i="8"/>
  <c r="AN88" i="8"/>
  <c r="AO88" i="8"/>
  <c r="AM87" i="8"/>
  <c r="AL87" i="8"/>
  <c r="AO87" i="8"/>
  <c r="AN87" i="8"/>
  <c r="AL86" i="8"/>
  <c r="AO86" i="8"/>
  <c r="AM86" i="8"/>
  <c r="AN86" i="8"/>
  <c r="AM80" i="8"/>
  <c r="AN80" i="8"/>
  <c r="AO80" i="8"/>
  <c r="AL80" i="8"/>
  <c r="AM64" i="8"/>
  <c r="AN64" i="8"/>
  <c r="AO64" i="8"/>
  <c r="AL64" i="8"/>
  <c r="AL53" i="8"/>
  <c r="AM53" i="8"/>
  <c r="AO53" i="8"/>
  <c r="AN53" i="8"/>
  <c r="AL74" i="8"/>
  <c r="AM74" i="8"/>
  <c r="AO74" i="8"/>
  <c r="AN74" i="8"/>
  <c r="AL58" i="8"/>
  <c r="AM58" i="8"/>
  <c r="AO58" i="8"/>
  <c r="AN58" i="8"/>
  <c r="AO79" i="8"/>
  <c r="AN79" i="8"/>
  <c r="AL79" i="8"/>
  <c r="AM79" i="8"/>
  <c r="AN63" i="8"/>
  <c r="AO63" i="8"/>
  <c r="AL63" i="8"/>
  <c r="AM63" i="8"/>
  <c r="AM52" i="8"/>
  <c r="AN52" i="8"/>
  <c r="AO52" i="8"/>
  <c r="AL52" i="8"/>
  <c r="AL73" i="8"/>
  <c r="AM73" i="8"/>
  <c r="AO73" i="8"/>
  <c r="AN73" i="8"/>
  <c r="AL57" i="8"/>
  <c r="AM57" i="8"/>
  <c r="AO57" i="8"/>
  <c r="AN57" i="8"/>
  <c r="AN51" i="8"/>
  <c r="AO51" i="8"/>
  <c r="AL51" i="8"/>
  <c r="AM51" i="8"/>
  <c r="AL69" i="8"/>
  <c r="AM69" i="8"/>
  <c r="N69" i="8"/>
  <c r="O69" i="8"/>
  <c r="AN69" i="8"/>
  <c r="AO69" i="8"/>
  <c r="AM72" i="8"/>
  <c r="AN72" i="8"/>
  <c r="AO72" i="8"/>
  <c r="AL72" i="8"/>
  <c r="AM56" i="8"/>
  <c r="AN56" i="8"/>
  <c r="AO56" i="8"/>
  <c r="AL56" i="8"/>
  <c r="AL77" i="8"/>
  <c r="AM77" i="8"/>
  <c r="AN77" i="8"/>
  <c r="AO77" i="8"/>
  <c r="AL61" i="8"/>
  <c r="AM61" i="8"/>
  <c r="AN61" i="8"/>
  <c r="AO61" i="8"/>
  <c r="AN67" i="8"/>
  <c r="AO67" i="8"/>
  <c r="AL67" i="8"/>
  <c r="AM67" i="8"/>
  <c r="AN71" i="8"/>
  <c r="AO71" i="8"/>
  <c r="AM71" i="8"/>
  <c r="AL71" i="8"/>
  <c r="AN55" i="8"/>
  <c r="AO55" i="8"/>
  <c r="AL55" i="8"/>
  <c r="AM55" i="8"/>
  <c r="AL78" i="8"/>
  <c r="AM78" i="8"/>
  <c r="AO78" i="8"/>
  <c r="AN78" i="8"/>
  <c r="AL62" i="8"/>
  <c r="AM62" i="8"/>
  <c r="AO62" i="8"/>
  <c r="AN62" i="8"/>
  <c r="AO83" i="8"/>
  <c r="AN83" i="8"/>
  <c r="AL83" i="8"/>
  <c r="AM83" i="8"/>
  <c r="AL82" i="8"/>
  <c r="AM82" i="8"/>
  <c r="AO82" i="8"/>
  <c r="AN82" i="8"/>
  <c r="AL66" i="8"/>
  <c r="AM66" i="8"/>
  <c r="AO66" i="8"/>
  <c r="AN66" i="8"/>
  <c r="AM76" i="8"/>
  <c r="AN76" i="8"/>
  <c r="AO76" i="8"/>
  <c r="AL76" i="8"/>
  <c r="AM60" i="8"/>
  <c r="AN60" i="8"/>
  <c r="AO60" i="8"/>
  <c r="AL60" i="8"/>
  <c r="AL81" i="8"/>
  <c r="AM81" i="8"/>
  <c r="AN81" i="8"/>
  <c r="AO81" i="8"/>
  <c r="AL65" i="8"/>
  <c r="AM65" i="8"/>
  <c r="AN65" i="8"/>
  <c r="AO65" i="8"/>
  <c r="AL54" i="8"/>
  <c r="AM54" i="8"/>
  <c r="AO54" i="8"/>
  <c r="AN54" i="8"/>
  <c r="AL85" i="8"/>
  <c r="AN85" i="8"/>
  <c r="AM85" i="8"/>
  <c r="AO85" i="8"/>
  <c r="AM84" i="8"/>
  <c r="AN84" i="8"/>
  <c r="AO84" i="8"/>
  <c r="AL84" i="8"/>
  <c r="AM68" i="8"/>
  <c r="AN68" i="8"/>
  <c r="AO68" i="8"/>
  <c r="AL68" i="8"/>
  <c r="AL70" i="8"/>
  <c r="AM70" i="8"/>
  <c r="AO70" i="8"/>
  <c r="AN70" i="8"/>
  <c r="AN75" i="8"/>
  <c r="AO75" i="8"/>
  <c r="AM75" i="8"/>
  <c r="AL75" i="8"/>
  <c r="AN59" i="8"/>
  <c r="AO59" i="8"/>
  <c r="AL59" i="8"/>
  <c r="AM59" i="8"/>
  <c r="AN89" i="8"/>
  <c r="AL89" i="8"/>
  <c r="AM89" i="8"/>
  <c r="AO89" i="8"/>
  <c r="F29" i="8" l="1"/>
  <c r="F75" i="8" s="1"/>
  <c r="G29" i="8"/>
  <c r="G75" i="8" s="1"/>
  <c r="H29" i="8"/>
  <c r="H75" i="8" s="1"/>
  <c r="I29" i="8"/>
  <c r="I75" i="8" s="1"/>
  <c r="J29" i="8"/>
  <c r="J75" i="8" s="1"/>
  <c r="K29" i="8"/>
  <c r="K75" i="8" s="1"/>
  <c r="L29" i="8"/>
  <c r="L75" i="8" s="1"/>
  <c r="M29" i="8"/>
  <c r="M75" i="8" s="1"/>
  <c r="N29" i="8"/>
  <c r="N75" i="8" s="1"/>
  <c r="O29" i="8"/>
  <c r="O75" i="8" s="1"/>
  <c r="P29" i="8"/>
  <c r="P75" i="8" s="1"/>
  <c r="Q29" i="8"/>
  <c r="Q75" i="8" s="1"/>
  <c r="R29" i="8"/>
  <c r="R75" i="8" s="1"/>
  <c r="S29" i="8"/>
  <c r="S75" i="8" s="1"/>
  <c r="T29" i="8"/>
  <c r="T75" i="8" s="1"/>
  <c r="U29" i="8"/>
  <c r="U75" i="8" s="1"/>
  <c r="V29" i="8"/>
  <c r="V75" i="8" s="1"/>
  <c r="W29" i="8"/>
  <c r="W75" i="8" s="1"/>
  <c r="X29" i="8"/>
  <c r="X75" i="8" s="1"/>
  <c r="Y29" i="8"/>
  <c r="Y75" i="8" s="1"/>
  <c r="F30" i="8"/>
  <c r="F76" i="8" s="1"/>
  <c r="G30" i="8"/>
  <c r="G76" i="8" s="1"/>
  <c r="H30" i="8"/>
  <c r="H76" i="8" s="1"/>
  <c r="I30" i="8"/>
  <c r="I76" i="8" s="1"/>
  <c r="J30" i="8"/>
  <c r="J76" i="8" s="1"/>
  <c r="K30" i="8"/>
  <c r="K76" i="8" s="1"/>
  <c r="L30" i="8"/>
  <c r="L76" i="8" s="1"/>
  <c r="M30" i="8"/>
  <c r="M76" i="8" s="1"/>
  <c r="N30" i="8"/>
  <c r="N76" i="8" s="1"/>
  <c r="O30" i="8"/>
  <c r="O76" i="8" s="1"/>
  <c r="P30" i="8"/>
  <c r="P76" i="8" s="1"/>
  <c r="Q30" i="8"/>
  <c r="Q76" i="8" s="1"/>
  <c r="R30" i="8"/>
  <c r="R76" i="8" s="1"/>
  <c r="S30" i="8"/>
  <c r="S76" i="8" s="1"/>
  <c r="T30" i="8"/>
  <c r="T76" i="8" s="1"/>
  <c r="U30" i="8"/>
  <c r="U76" i="8" s="1"/>
  <c r="V30" i="8"/>
  <c r="V76" i="8" s="1"/>
  <c r="W30" i="8"/>
  <c r="W76" i="8" s="1"/>
  <c r="X30" i="8"/>
  <c r="X76" i="8" s="1"/>
  <c r="Y30" i="8"/>
  <c r="Y76" i="8" s="1"/>
  <c r="F31" i="8"/>
  <c r="F77" i="8" s="1"/>
  <c r="G31" i="8"/>
  <c r="G77" i="8" s="1"/>
  <c r="H31" i="8"/>
  <c r="H77" i="8" s="1"/>
  <c r="I31" i="8"/>
  <c r="I77" i="8" s="1"/>
  <c r="J31" i="8"/>
  <c r="J77" i="8" s="1"/>
  <c r="K31" i="8"/>
  <c r="K77" i="8" s="1"/>
  <c r="L31" i="8"/>
  <c r="L77" i="8" s="1"/>
  <c r="M31" i="8"/>
  <c r="M77" i="8" s="1"/>
  <c r="N31" i="8"/>
  <c r="N77" i="8" s="1"/>
  <c r="O31" i="8"/>
  <c r="O77" i="8" s="1"/>
  <c r="P31" i="8"/>
  <c r="P77" i="8" s="1"/>
  <c r="Q31" i="8"/>
  <c r="Q77" i="8" s="1"/>
  <c r="R31" i="8"/>
  <c r="R77" i="8" s="1"/>
  <c r="S31" i="8"/>
  <c r="S77" i="8" s="1"/>
  <c r="T31" i="8"/>
  <c r="T77" i="8" s="1"/>
  <c r="U31" i="8"/>
  <c r="U77" i="8" s="1"/>
  <c r="V31" i="8"/>
  <c r="V77" i="8" s="1"/>
  <c r="W31" i="8"/>
  <c r="W77" i="8" s="1"/>
  <c r="X31" i="8"/>
  <c r="X77" i="8" s="1"/>
  <c r="Y31" i="8"/>
  <c r="Y77" i="8" s="1"/>
  <c r="F32" i="8"/>
  <c r="F78" i="8" s="1"/>
  <c r="G32" i="8"/>
  <c r="G78" i="8" s="1"/>
  <c r="H32" i="8"/>
  <c r="H78" i="8" s="1"/>
  <c r="I32" i="8"/>
  <c r="I78" i="8" s="1"/>
  <c r="J32" i="8"/>
  <c r="J78" i="8" s="1"/>
  <c r="K32" i="8"/>
  <c r="K78" i="8" s="1"/>
  <c r="L32" i="8"/>
  <c r="L78" i="8" s="1"/>
  <c r="M32" i="8"/>
  <c r="M78" i="8" s="1"/>
  <c r="N32" i="8"/>
  <c r="N78" i="8" s="1"/>
  <c r="O32" i="8"/>
  <c r="O78" i="8" s="1"/>
  <c r="P32" i="8"/>
  <c r="P78" i="8" s="1"/>
  <c r="Q32" i="8"/>
  <c r="Q78" i="8" s="1"/>
  <c r="R32" i="8"/>
  <c r="R78" i="8" s="1"/>
  <c r="S32" i="8"/>
  <c r="S78" i="8" s="1"/>
  <c r="T32" i="8"/>
  <c r="T78" i="8" s="1"/>
  <c r="U32" i="8"/>
  <c r="U78" i="8" s="1"/>
  <c r="V32" i="8"/>
  <c r="V78" i="8" s="1"/>
  <c r="W32" i="8"/>
  <c r="W78" i="8" s="1"/>
  <c r="X32" i="8"/>
  <c r="X78" i="8" s="1"/>
  <c r="Y32" i="8"/>
  <c r="Y78" i="8" s="1"/>
  <c r="F33" i="8"/>
  <c r="F79" i="8" s="1"/>
  <c r="G33" i="8"/>
  <c r="G79" i="8" s="1"/>
  <c r="H33" i="8"/>
  <c r="H79" i="8" s="1"/>
  <c r="I33" i="8"/>
  <c r="I79" i="8" s="1"/>
  <c r="J33" i="8"/>
  <c r="J79" i="8" s="1"/>
  <c r="K33" i="8"/>
  <c r="K79" i="8" s="1"/>
  <c r="L33" i="8"/>
  <c r="L79" i="8" s="1"/>
  <c r="M33" i="8"/>
  <c r="M79" i="8" s="1"/>
  <c r="N33" i="8"/>
  <c r="N79" i="8" s="1"/>
  <c r="O33" i="8"/>
  <c r="O79" i="8" s="1"/>
  <c r="P33" i="8"/>
  <c r="P79" i="8" s="1"/>
  <c r="Q33" i="8"/>
  <c r="Q79" i="8" s="1"/>
  <c r="R33" i="8"/>
  <c r="R79" i="8" s="1"/>
  <c r="S33" i="8"/>
  <c r="S79" i="8" s="1"/>
  <c r="T33" i="8"/>
  <c r="T79" i="8" s="1"/>
  <c r="U33" i="8"/>
  <c r="U79" i="8" s="1"/>
  <c r="V33" i="8"/>
  <c r="V79" i="8" s="1"/>
  <c r="W33" i="8"/>
  <c r="W79" i="8" s="1"/>
  <c r="X33" i="8"/>
  <c r="X79" i="8" s="1"/>
  <c r="Y33" i="8"/>
  <c r="Y79" i="8" s="1"/>
  <c r="F34" i="8"/>
  <c r="F80" i="8" s="1"/>
  <c r="G34" i="8"/>
  <c r="G80" i="8" s="1"/>
  <c r="H34" i="8"/>
  <c r="H80" i="8" s="1"/>
  <c r="I34" i="8"/>
  <c r="I80" i="8" s="1"/>
  <c r="J34" i="8"/>
  <c r="J80" i="8" s="1"/>
  <c r="K34" i="8"/>
  <c r="K80" i="8" s="1"/>
  <c r="L34" i="8"/>
  <c r="L80" i="8" s="1"/>
  <c r="M34" i="8"/>
  <c r="M80" i="8" s="1"/>
  <c r="N34" i="8"/>
  <c r="N80" i="8" s="1"/>
  <c r="O34" i="8"/>
  <c r="O80" i="8" s="1"/>
  <c r="P34" i="8"/>
  <c r="P80" i="8" s="1"/>
  <c r="Q34" i="8"/>
  <c r="Q80" i="8" s="1"/>
  <c r="R34" i="8"/>
  <c r="R80" i="8" s="1"/>
  <c r="S34" i="8"/>
  <c r="S80" i="8" s="1"/>
  <c r="T34" i="8"/>
  <c r="T80" i="8" s="1"/>
  <c r="U34" i="8"/>
  <c r="U80" i="8" s="1"/>
  <c r="V34" i="8"/>
  <c r="V80" i="8" s="1"/>
  <c r="W34" i="8"/>
  <c r="W80" i="8" s="1"/>
  <c r="X34" i="8"/>
  <c r="X80" i="8" s="1"/>
  <c r="Y34" i="8"/>
  <c r="Y80" i="8" s="1"/>
  <c r="F35" i="8"/>
  <c r="F81" i="8" s="1"/>
  <c r="G35" i="8"/>
  <c r="G81" i="8" s="1"/>
  <c r="H35" i="8"/>
  <c r="H81" i="8" s="1"/>
  <c r="I35" i="8"/>
  <c r="I81" i="8" s="1"/>
  <c r="J35" i="8"/>
  <c r="J81" i="8" s="1"/>
  <c r="K35" i="8"/>
  <c r="K81" i="8" s="1"/>
  <c r="L35" i="8"/>
  <c r="L81" i="8" s="1"/>
  <c r="M35" i="8"/>
  <c r="M81" i="8" s="1"/>
  <c r="N35" i="8"/>
  <c r="N81" i="8" s="1"/>
  <c r="O35" i="8"/>
  <c r="O81" i="8" s="1"/>
  <c r="P35" i="8"/>
  <c r="P81" i="8" s="1"/>
  <c r="Q35" i="8"/>
  <c r="Q81" i="8" s="1"/>
  <c r="R35" i="8"/>
  <c r="R81" i="8" s="1"/>
  <c r="S35" i="8"/>
  <c r="S81" i="8" s="1"/>
  <c r="T35" i="8"/>
  <c r="T81" i="8" s="1"/>
  <c r="U35" i="8"/>
  <c r="U81" i="8" s="1"/>
  <c r="V35" i="8"/>
  <c r="V81" i="8" s="1"/>
  <c r="W35" i="8"/>
  <c r="W81" i="8" s="1"/>
  <c r="X35" i="8"/>
  <c r="X81" i="8" s="1"/>
  <c r="Y35" i="8"/>
  <c r="Y81" i="8" s="1"/>
  <c r="F36" i="8"/>
  <c r="F82" i="8" s="1"/>
  <c r="G36" i="8"/>
  <c r="G82" i="8" s="1"/>
  <c r="H36" i="8"/>
  <c r="H82" i="8" s="1"/>
  <c r="I36" i="8"/>
  <c r="I82" i="8" s="1"/>
  <c r="J36" i="8"/>
  <c r="J82" i="8" s="1"/>
  <c r="K36" i="8"/>
  <c r="K82" i="8" s="1"/>
  <c r="L36" i="8"/>
  <c r="L82" i="8" s="1"/>
  <c r="M36" i="8"/>
  <c r="M82" i="8" s="1"/>
  <c r="N36" i="8"/>
  <c r="N82" i="8" s="1"/>
  <c r="O36" i="8"/>
  <c r="O82" i="8" s="1"/>
  <c r="P36" i="8"/>
  <c r="P82" i="8" s="1"/>
  <c r="Q36" i="8"/>
  <c r="Q82" i="8" s="1"/>
  <c r="R36" i="8"/>
  <c r="R82" i="8" s="1"/>
  <c r="S36" i="8"/>
  <c r="S82" i="8" s="1"/>
  <c r="T36" i="8"/>
  <c r="T82" i="8" s="1"/>
  <c r="U36" i="8"/>
  <c r="U82" i="8" s="1"/>
  <c r="V36" i="8"/>
  <c r="V82" i="8" s="1"/>
  <c r="W36" i="8"/>
  <c r="W82" i="8" s="1"/>
  <c r="X36" i="8"/>
  <c r="X82" i="8" s="1"/>
  <c r="Y36" i="8"/>
  <c r="Y82" i="8" s="1"/>
  <c r="F37" i="8"/>
  <c r="F83" i="8" s="1"/>
  <c r="G37" i="8"/>
  <c r="G83" i="8" s="1"/>
  <c r="H37" i="8"/>
  <c r="H83" i="8" s="1"/>
  <c r="I37" i="8"/>
  <c r="I83" i="8" s="1"/>
  <c r="J37" i="8"/>
  <c r="J83" i="8" s="1"/>
  <c r="K37" i="8"/>
  <c r="K83" i="8" s="1"/>
  <c r="L37" i="8"/>
  <c r="L83" i="8" s="1"/>
  <c r="M37" i="8"/>
  <c r="M83" i="8" s="1"/>
  <c r="N37" i="8"/>
  <c r="N83" i="8" s="1"/>
  <c r="O37" i="8"/>
  <c r="O83" i="8" s="1"/>
  <c r="P37" i="8"/>
  <c r="P83" i="8" s="1"/>
  <c r="Q37" i="8"/>
  <c r="Q83" i="8" s="1"/>
  <c r="R37" i="8"/>
  <c r="R83" i="8" s="1"/>
  <c r="S37" i="8"/>
  <c r="S83" i="8" s="1"/>
  <c r="T37" i="8"/>
  <c r="T83" i="8" s="1"/>
  <c r="U37" i="8"/>
  <c r="U83" i="8" s="1"/>
  <c r="V37" i="8"/>
  <c r="V83" i="8" s="1"/>
  <c r="W37" i="8"/>
  <c r="W83" i="8" s="1"/>
  <c r="X37" i="8"/>
  <c r="X83" i="8" s="1"/>
  <c r="Y37" i="8"/>
  <c r="Y83" i="8" s="1"/>
  <c r="F38" i="8"/>
  <c r="F84" i="8" s="1"/>
  <c r="G38" i="8"/>
  <c r="G84" i="8" s="1"/>
  <c r="H38" i="8"/>
  <c r="H84" i="8" s="1"/>
  <c r="I38" i="8"/>
  <c r="I84" i="8" s="1"/>
  <c r="J38" i="8"/>
  <c r="J84" i="8" s="1"/>
  <c r="K38" i="8"/>
  <c r="K84" i="8" s="1"/>
  <c r="L38" i="8"/>
  <c r="L84" i="8" s="1"/>
  <c r="M38" i="8"/>
  <c r="M84" i="8" s="1"/>
  <c r="N38" i="8"/>
  <c r="N84" i="8" s="1"/>
  <c r="O38" i="8"/>
  <c r="O84" i="8" s="1"/>
  <c r="P38" i="8"/>
  <c r="P84" i="8" s="1"/>
  <c r="Q38" i="8"/>
  <c r="Q84" i="8" s="1"/>
  <c r="R38" i="8"/>
  <c r="R84" i="8" s="1"/>
  <c r="S38" i="8"/>
  <c r="S84" i="8" s="1"/>
  <c r="T38" i="8"/>
  <c r="T84" i="8" s="1"/>
  <c r="U38" i="8"/>
  <c r="U84" i="8" s="1"/>
  <c r="V38" i="8"/>
  <c r="V84" i="8" s="1"/>
  <c r="W38" i="8"/>
  <c r="W84" i="8" s="1"/>
  <c r="X38" i="8"/>
  <c r="X84" i="8" s="1"/>
  <c r="Y38" i="8"/>
  <c r="Y84" i="8" s="1"/>
  <c r="F39" i="8"/>
  <c r="F85" i="8" s="1"/>
  <c r="G39" i="8"/>
  <c r="G85" i="8" s="1"/>
  <c r="H39" i="8"/>
  <c r="H85" i="8" s="1"/>
  <c r="I39" i="8"/>
  <c r="I85" i="8" s="1"/>
  <c r="J39" i="8"/>
  <c r="J85" i="8" s="1"/>
  <c r="K39" i="8"/>
  <c r="K85" i="8" s="1"/>
  <c r="L39" i="8"/>
  <c r="L85" i="8" s="1"/>
  <c r="M39" i="8"/>
  <c r="M85" i="8" s="1"/>
  <c r="N39" i="8"/>
  <c r="N85" i="8" s="1"/>
  <c r="O39" i="8"/>
  <c r="O85" i="8" s="1"/>
  <c r="P39" i="8"/>
  <c r="P85" i="8" s="1"/>
  <c r="Q39" i="8"/>
  <c r="Q85" i="8" s="1"/>
  <c r="R39" i="8"/>
  <c r="R85" i="8" s="1"/>
  <c r="S39" i="8"/>
  <c r="S85" i="8" s="1"/>
  <c r="T39" i="8"/>
  <c r="T85" i="8" s="1"/>
  <c r="U39" i="8"/>
  <c r="U85" i="8" s="1"/>
  <c r="V39" i="8"/>
  <c r="V85" i="8" s="1"/>
  <c r="W39" i="8"/>
  <c r="W85" i="8" s="1"/>
  <c r="X39" i="8"/>
  <c r="X85" i="8" s="1"/>
  <c r="Y39" i="8"/>
  <c r="Y85" i="8" s="1"/>
  <c r="F40" i="8"/>
  <c r="F86" i="8" s="1"/>
  <c r="G40" i="8"/>
  <c r="G86" i="8" s="1"/>
  <c r="H40" i="8"/>
  <c r="H86" i="8" s="1"/>
  <c r="I40" i="8"/>
  <c r="I86" i="8" s="1"/>
  <c r="J40" i="8"/>
  <c r="J86" i="8" s="1"/>
  <c r="K40" i="8"/>
  <c r="K86" i="8" s="1"/>
  <c r="L40" i="8"/>
  <c r="L86" i="8" s="1"/>
  <c r="M40" i="8"/>
  <c r="M86" i="8" s="1"/>
  <c r="N40" i="8"/>
  <c r="N86" i="8" s="1"/>
  <c r="O40" i="8"/>
  <c r="O86" i="8" s="1"/>
  <c r="P40" i="8"/>
  <c r="P86" i="8" s="1"/>
  <c r="Q40" i="8"/>
  <c r="Q86" i="8" s="1"/>
  <c r="R40" i="8"/>
  <c r="R86" i="8" s="1"/>
  <c r="S40" i="8"/>
  <c r="S86" i="8" s="1"/>
  <c r="T40" i="8"/>
  <c r="T86" i="8" s="1"/>
  <c r="U40" i="8"/>
  <c r="U86" i="8" s="1"/>
  <c r="V40" i="8"/>
  <c r="V86" i="8" s="1"/>
  <c r="W40" i="8"/>
  <c r="W86" i="8" s="1"/>
  <c r="X40" i="8"/>
  <c r="X86" i="8" s="1"/>
  <c r="Y40" i="8"/>
  <c r="Y86" i="8" s="1"/>
  <c r="F41" i="8"/>
  <c r="F87" i="8" s="1"/>
  <c r="G41" i="8"/>
  <c r="G87" i="8" s="1"/>
  <c r="H41" i="8"/>
  <c r="H87" i="8" s="1"/>
  <c r="I41" i="8"/>
  <c r="I87" i="8" s="1"/>
  <c r="J41" i="8"/>
  <c r="J87" i="8" s="1"/>
  <c r="K41" i="8"/>
  <c r="K87" i="8" s="1"/>
  <c r="L41" i="8"/>
  <c r="L87" i="8" s="1"/>
  <c r="M41" i="8"/>
  <c r="M87" i="8" s="1"/>
  <c r="N41" i="8"/>
  <c r="N87" i="8" s="1"/>
  <c r="O41" i="8"/>
  <c r="O87" i="8" s="1"/>
  <c r="P41" i="8"/>
  <c r="P87" i="8" s="1"/>
  <c r="Q41" i="8"/>
  <c r="Q87" i="8" s="1"/>
  <c r="R41" i="8"/>
  <c r="R87" i="8" s="1"/>
  <c r="S41" i="8"/>
  <c r="S87" i="8" s="1"/>
  <c r="T41" i="8"/>
  <c r="T87" i="8" s="1"/>
  <c r="U41" i="8"/>
  <c r="U87" i="8" s="1"/>
  <c r="V41" i="8"/>
  <c r="V87" i="8" s="1"/>
  <c r="W41" i="8"/>
  <c r="W87" i="8" s="1"/>
  <c r="X41" i="8"/>
  <c r="X87" i="8" s="1"/>
  <c r="Y41" i="8"/>
  <c r="Y87" i="8" s="1"/>
  <c r="F42" i="8"/>
  <c r="F88" i="8" s="1"/>
  <c r="G42" i="8"/>
  <c r="G88" i="8" s="1"/>
  <c r="H42" i="8"/>
  <c r="H88" i="8" s="1"/>
  <c r="I42" i="8"/>
  <c r="I88" i="8" s="1"/>
  <c r="J42" i="8"/>
  <c r="J88" i="8" s="1"/>
  <c r="K42" i="8"/>
  <c r="K88" i="8" s="1"/>
  <c r="L42" i="8"/>
  <c r="L88" i="8" s="1"/>
  <c r="M42" i="8"/>
  <c r="M88" i="8" s="1"/>
  <c r="N42" i="8"/>
  <c r="N88" i="8" s="1"/>
  <c r="O42" i="8"/>
  <c r="O88" i="8" s="1"/>
  <c r="P42" i="8"/>
  <c r="P88" i="8" s="1"/>
  <c r="Q42" i="8"/>
  <c r="Q88" i="8" s="1"/>
  <c r="R42" i="8"/>
  <c r="R88" i="8" s="1"/>
  <c r="S42" i="8"/>
  <c r="S88" i="8" s="1"/>
  <c r="T42" i="8"/>
  <c r="T88" i="8" s="1"/>
  <c r="U42" i="8"/>
  <c r="U88" i="8" s="1"/>
  <c r="V42" i="8"/>
  <c r="V88" i="8" s="1"/>
  <c r="W42" i="8"/>
  <c r="W88" i="8" s="1"/>
  <c r="X42" i="8"/>
  <c r="X88" i="8" s="1"/>
  <c r="Y42" i="8"/>
  <c r="Y88" i="8" s="1"/>
  <c r="F43" i="8"/>
  <c r="F89" i="8" s="1"/>
  <c r="G43" i="8"/>
  <c r="G89" i="8" s="1"/>
  <c r="H43" i="8"/>
  <c r="H89" i="8" s="1"/>
  <c r="I43" i="8"/>
  <c r="I89" i="8" s="1"/>
  <c r="J43" i="8"/>
  <c r="J89" i="8" s="1"/>
  <c r="K43" i="8"/>
  <c r="K89" i="8" s="1"/>
  <c r="L43" i="8"/>
  <c r="L89" i="8" s="1"/>
  <c r="M43" i="8"/>
  <c r="M89" i="8" s="1"/>
  <c r="N43" i="8"/>
  <c r="N89" i="8" s="1"/>
  <c r="O43" i="8"/>
  <c r="O89" i="8" s="1"/>
  <c r="P43" i="8"/>
  <c r="P89" i="8" s="1"/>
  <c r="Q43" i="8"/>
  <c r="Q89" i="8" s="1"/>
  <c r="R43" i="8"/>
  <c r="R89" i="8" s="1"/>
  <c r="S43" i="8"/>
  <c r="S89" i="8" s="1"/>
  <c r="T43" i="8"/>
  <c r="T89" i="8" s="1"/>
  <c r="U43" i="8"/>
  <c r="U89" i="8" s="1"/>
  <c r="V43" i="8"/>
  <c r="V89" i="8" s="1"/>
  <c r="W43" i="8"/>
  <c r="W89" i="8" s="1"/>
  <c r="X43" i="8"/>
  <c r="X89" i="8" s="1"/>
  <c r="Y43" i="8"/>
  <c r="Y89" i="8" s="1"/>
  <c r="F44" i="8"/>
  <c r="F90" i="8" s="1"/>
  <c r="G44" i="8"/>
  <c r="G90" i="8" s="1"/>
  <c r="H44" i="8"/>
  <c r="H90" i="8" s="1"/>
  <c r="I44" i="8"/>
  <c r="I90" i="8" s="1"/>
  <c r="J44" i="8"/>
  <c r="J90" i="8" s="1"/>
  <c r="K44" i="8"/>
  <c r="K90" i="8" s="1"/>
  <c r="L44" i="8"/>
  <c r="L90" i="8" s="1"/>
  <c r="M44" i="8"/>
  <c r="M90" i="8" s="1"/>
  <c r="N44" i="8"/>
  <c r="N90" i="8" s="1"/>
  <c r="O44" i="8"/>
  <c r="O90" i="8" s="1"/>
  <c r="P44" i="8"/>
  <c r="P90" i="8" s="1"/>
  <c r="Q44" i="8"/>
  <c r="Q90" i="8" s="1"/>
  <c r="R44" i="8"/>
  <c r="R90" i="8" s="1"/>
  <c r="S44" i="8"/>
  <c r="S90" i="8" s="1"/>
  <c r="T44" i="8"/>
  <c r="T90" i="8" s="1"/>
  <c r="U44" i="8"/>
  <c r="U90" i="8" s="1"/>
  <c r="V44" i="8"/>
  <c r="V90" i="8" s="1"/>
  <c r="W44" i="8"/>
  <c r="W90" i="8" s="1"/>
  <c r="X44" i="8"/>
  <c r="X90" i="8" s="1"/>
  <c r="Y44" i="8"/>
  <c r="Y90" i="8" s="1"/>
  <c r="F45" i="8"/>
  <c r="F91" i="8" s="1"/>
  <c r="G45" i="8"/>
  <c r="G91" i="8" s="1"/>
  <c r="H45" i="8"/>
  <c r="H91" i="8" s="1"/>
  <c r="I45" i="8"/>
  <c r="I91" i="8" s="1"/>
  <c r="J45" i="8"/>
  <c r="J91" i="8" s="1"/>
  <c r="K45" i="8"/>
  <c r="K91" i="8" s="1"/>
  <c r="L45" i="8"/>
  <c r="L91" i="8" s="1"/>
  <c r="M45" i="8"/>
  <c r="M91" i="8" s="1"/>
  <c r="N45" i="8"/>
  <c r="N91" i="8" s="1"/>
  <c r="O45" i="8"/>
  <c r="O91" i="8" s="1"/>
  <c r="P45" i="8"/>
  <c r="P91" i="8" s="1"/>
  <c r="Q45" i="8"/>
  <c r="Q91" i="8" s="1"/>
  <c r="R45" i="8"/>
  <c r="R91" i="8" s="1"/>
  <c r="S45" i="8"/>
  <c r="S91" i="8" s="1"/>
  <c r="T45" i="8"/>
  <c r="T91" i="8" s="1"/>
  <c r="U45" i="8"/>
  <c r="U91" i="8" s="1"/>
  <c r="V45" i="8"/>
  <c r="V91" i="8" s="1"/>
  <c r="W45" i="8"/>
  <c r="W91" i="8" s="1"/>
  <c r="X45" i="8"/>
  <c r="X91" i="8" s="1"/>
  <c r="Y45" i="8"/>
  <c r="Y91" i="8" s="1"/>
  <c r="F46" i="8"/>
  <c r="F92" i="8" s="1"/>
  <c r="G46" i="8"/>
  <c r="G92" i="8" s="1"/>
  <c r="H46" i="8"/>
  <c r="H92" i="8" s="1"/>
  <c r="I46" i="8"/>
  <c r="I92" i="8" s="1"/>
  <c r="J46" i="8"/>
  <c r="J92" i="8" s="1"/>
  <c r="K46" i="8"/>
  <c r="K92" i="8" s="1"/>
  <c r="L46" i="8"/>
  <c r="L92" i="8" s="1"/>
  <c r="M46" i="8"/>
  <c r="M92" i="8" s="1"/>
  <c r="N46" i="8"/>
  <c r="N92" i="8" s="1"/>
  <c r="O46" i="8"/>
  <c r="O92" i="8" s="1"/>
  <c r="P46" i="8"/>
  <c r="P92" i="8" s="1"/>
  <c r="Q46" i="8"/>
  <c r="Q92" i="8" s="1"/>
  <c r="R46" i="8"/>
  <c r="R92" i="8" s="1"/>
  <c r="S46" i="8"/>
  <c r="S92" i="8" s="1"/>
  <c r="T46" i="8"/>
  <c r="T92" i="8" s="1"/>
  <c r="U46" i="8"/>
  <c r="U92" i="8" s="1"/>
  <c r="V46" i="8"/>
  <c r="V92" i="8" s="1"/>
  <c r="W46" i="8"/>
  <c r="W92" i="8" s="1"/>
  <c r="X46" i="8"/>
  <c r="X92" i="8" s="1"/>
  <c r="Y46" i="8"/>
  <c r="Y92" i="8" s="1"/>
  <c r="F5" i="8"/>
  <c r="F51" i="8" s="1"/>
  <c r="G5" i="8"/>
  <c r="G51" i="8" s="1"/>
  <c r="H5" i="8"/>
  <c r="H51" i="8" s="1"/>
  <c r="I5" i="8"/>
  <c r="I51" i="8" s="1"/>
  <c r="J5" i="8"/>
  <c r="J51" i="8" s="1"/>
  <c r="K5" i="8"/>
  <c r="K51" i="8" s="1"/>
  <c r="L5" i="8"/>
  <c r="L51" i="8" s="1"/>
  <c r="M5" i="8"/>
  <c r="M51" i="8" s="1"/>
  <c r="N5" i="8"/>
  <c r="N51" i="8" s="1"/>
  <c r="O5" i="8"/>
  <c r="O51" i="8" s="1"/>
  <c r="P5" i="8"/>
  <c r="P51" i="8" s="1"/>
  <c r="Q5" i="8"/>
  <c r="Q51" i="8" s="1"/>
  <c r="R5" i="8"/>
  <c r="R51" i="8" s="1"/>
  <c r="S5" i="8"/>
  <c r="S51" i="8" s="1"/>
  <c r="T5" i="8"/>
  <c r="T51" i="8" s="1"/>
  <c r="U5" i="8"/>
  <c r="U51" i="8" s="1"/>
  <c r="V5" i="8"/>
  <c r="V51" i="8" s="1"/>
  <c r="W5" i="8"/>
  <c r="W51" i="8" s="1"/>
  <c r="X5" i="8"/>
  <c r="X51" i="8" s="1"/>
  <c r="Y5" i="8"/>
  <c r="Y51" i="8" s="1"/>
  <c r="F6" i="8"/>
  <c r="F52" i="8" s="1"/>
  <c r="G6" i="8"/>
  <c r="G52" i="8" s="1"/>
  <c r="H6" i="8"/>
  <c r="H52" i="8" s="1"/>
  <c r="I6" i="8"/>
  <c r="I52" i="8" s="1"/>
  <c r="J6" i="8"/>
  <c r="J52" i="8" s="1"/>
  <c r="K6" i="8"/>
  <c r="K52" i="8" s="1"/>
  <c r="L6" i="8"/>
  <c r="L52" i="8" s="1"/>
  <c r="M6" i="8"/>
  <c r="M52" i="8" s="1"/>
  <c r="N6" i="8"/>
  <c r="N52" i="8" s="1"/>
  <c r="O6" i="8"/>
  <c r="O52" i="8" s="1"/>
  <c r="P6" i="8"/>
  <c r="P52" i="8" s="1"/>
  <c r="Q6" i="8"/>
  <c r="Q52" i="8" s="1"/>
  <c r="R6" i="8"/>
  <c r="R52" i="8" s="1"/>
  <c r="S6" i="8"/>
  <c r="S52" i="8" s="1"/>
  <c r="T6" i="8"/>
  <c r="T52" i="8" s="1"/>
  <c r="U6" i="8"/>
  <c r="U52" i="8" s="1"/>
  <c r="V6" i="8"/>
  <c r="V52" i="8" s="1"/>
  <c r="W6" i="8"/>
  <c r="W52" i="8" s="1"/>
  <c r="X6" i="8"/>
  <c r="X52" i="8" s="1"/>
  <c r="Y6" i="8"/>
  <c r="Y52" i="8" s="1"/>
  <c r="F7" i="8"/>
  <c r="F53" i="8" s="1"/>
  <c r="G7" i="8"/>
  <c r="G53" i="8" s="1"/>
  <c r="H7" i="8"/>
  <c r="H53" i="8" s="1"/>
  <c r="I7" i="8"/>
  <c r="I53" i="8" s="1"/>
  <c r="J7" i="8"/>
  <c r="J53" i="8" s="1"/>
  <c r="K7" i="8"/>
  <c r="K53" i="8" s="1"/>
  <c r="L7" i="8"/>
  <c r="L53" i="8" s="1"/>
  <c r="M7" i="8"/>
  <c r="M53" i="8" s="1"/>
  <c r="N7" i="8"/>
  <c r="N53" i="8" s="1"/>
  <c r="O7" i="8"/>
  <c r="O53" i="8" s="1"/>
  <c r="P7" i="8"/>
  <c r="P53" i="8" s="1"/>
  <c r="Q7" i="8"/>
  <c r="Q53" i="8" s="1"/>
  <c r="R7" i="8"/>
  <c r="R53" i="8" s="1"/>
  <c r="S7" i="8"/>
  <c r="S53" i="8" s="1"/>
  <c r="T7" i="8"/>
  <c r="T53" i="8" s="1"/>
  <c r="U7" i="8"/>
  <c r="U53" i="8" s="1"/>
  <c r="V7" i="8"/>
  <c r="V53" i="8" s="1"/>
  <c r="W7" i="8"/>
  <c r="W53" i="8" s="1"/>
  <c r="X7" i="8"/>
  <c r="X53" i="8" s="1"/>
  <c r="Y7" i="8"/>
  <c r="Y53" i="8" s="1"/>
  <c r="F8" i="8"/>
  <c r="F54" i="8" s="1"/>
  <c r="G8" i="8"/>
  <c r="G54" i="8" s="1"/>
  <c r="H8" i="8"/>
  <c r="H54" i="8" s="1"/>
  <c r="I8" i="8"/>
  <c r="I54" i="8" s="1"/>
  <c r="J8" i="8"/>
  <c r="J54" i="8" s="1"/>
  <c r="K8" i="8"/>
  <c r="K54" i="8" s="1"/>
  <c r="L8" i="8"/>
  <c r="L54" i="8" s="1"/>
  <c r="M8" i="8"/>
  <c r="M54" i="8" s="1"/>
  <c r="N8" i="8"/>
  <c r="N54" i="8" s="1"/>
  <c r="O8" i="8"/>
  <c r="O54" i="8" s="1"/>
  <c r="P8" i="8"/>
  <c r="P54" i="8" s="1"/>
  <c r="Q8" i="8"/>
  <c r="Q54" i="8" s="1"/>
  <c r="R8" i="8"/>
  <c r="R54" i="8" s="1"/>
  <c r="S8" i="8"/>
  <c r="S54" i="8" s="1"/>
  <c r="T8" i="8"/>
  <c r="T54" i="8" s="1"/>
  <c r="U8" i="8"/>
  <c r="U54" i="8" s="1"/>
  <c r="V8" i="8"/>
  <c r="V54" i="8" s="1"/>
  <c r="W8" i="8"/>
  <c r="W54" i="8" s="1"/>
  <c r="X8" i="8"/>
  <c r="X54" i="8" s="1"/>
  <c r="Y8" i="8"/>
  <c r="Y54" i="8" s="1"/>
  <c r="F9" i="8"/>
  <c r="F55" i="8" s="1"/>
  <c r="G9" i="8"/>
  <c r="G55" i="8" s="1"/>
  <c r="H9" i="8"/>
  <c r="H55" i="8" s="1"/>
  <c r="I9" i="8"/>
  <c r="I55" i="8" s="1"/>
  <c r="J9" i="8"/>
  <c r="J55" i="8" s="1"/>
  <c r="K9" i="8"/>
  <c r="K55" i="8" s="1"/>
  <c r="L9" i="8"/>
  <c r="L55" i="8" s="1"/>
  <c r="M9" i="8"/>
  <c r="M55" i="8" s="1"/>
  <c r="N9" i="8"/>
  <c r="N55" i="8" s="1"/>
  <c r="O9" i="8"/>
  <c r="O55" i="8" s="1"/>
  <c r="P9" i="8"/>
  <c r="P55" i="8" s="1"/>
  <c r="Q9" i="8"/>
  <c r="Q55" i="8" s="1"/>
  <c r="R9" i="8"/>
  <c r="R55" i="8" s="1"/>
  <c r="S9" i="8"/>
  <c r="S55" i="8" s="1"/>
  <c r="T9" i="8"/>
  <c r="T55" i="8" s="1"/>
  <c r="U9" i="8"/>
  <c r="U55" i="8" s="1"/>
  <c r="V9" i="8"/>
  <c r="V55" i="8" s="1"/>
  <c r="W9" i="8"/>
  <c r="W55" i="8" s="1"/>
  <c r="X9" i="8"/>
  <c r="X55" i="8" s="1"/>
  <c r="Y9" i="8"/>
  <c r="Y55" i="8" s="1"/>
  <c r="F10" i="8"/>
  <c r="F56" i="8" s="1"/>
  <c r="G10" i="8"/>
  <c r="G56" i="8" s="1"/>
  <c r="H10" i="8"/>
  <c r="H56" i="8" s="1"/>
  <c r="I10" i="8"/>
  <c r="I56" i="8" s="1"/>
  <c r="J10" i="8"/>
  <c r="J56" i="8" s="1"/>
  <c r="K10" i="8"/>
  <c r="K56" i="8" s="1"/>
  <c r="L10" i="8"/>
  <c r="L56" i="8" s="1"/>
  <c r="M10" i="8"/>
  <c r="M56" i="8" s="1"/>
  <c r="N10" i="8"/>
  <c r="N56" i="8" s="1"/>
  <c r="O10" i="8"/>
  <c r="O56" i="8" s="1"/>
  <c r="P10" i="8"/>
  <c r="P56" i="8" s="1"/>
  <c r="Q10" i="8"/>
  <c r="Q56" i="8" s="1"/>
  <c r="R10" i="8"/>
  <c r="R56" i="8" s="1"/>
  <c r="S10" i="8"/>
  <c r="S56" i="8" s="1"/>
  <c r="T10" i="8"/>
  <c r="T56" i="8" s="1"/>
  <c r="U10" i="8"/>
  <c r="U56" i="8" s="1"/>
  <c r="V10" i="8"/>
  <c r="V56" i="8" s="1"/>
  <c r="W10" i="8"/>
  <c r="W56" i="8" s="1"/>
  <c r="X10" i="8"/>
  <c r="X56" i="8" s="1"/>
  <c r="Y10" i="8"/>
  <c r="Y56" i="8" s="1"/>
  <c r="F11" i="8"/>
  <c r="F57" i="8" s="1"/>
  <c r="G11" i="8"/>
  <c r="G57" i="8" s="1"/>
  <c r="H11" i="8"/>
  <c r="H57" i="8" s="1"/>
  <c r="I11" i="8"/>
  <c r="I57" i="8" s="1"/>
  <c r="J11" i="8"/>
  <c r="J57" i="8" s="1"/>
  <c r="K11" i="8"/>
  <c r="K57" i="8" s="1"/>
  <c r="L11" i="8"/>
  <c r="L57" i="8" s="1"/>
  <c r="M11" i="8"/>
  <c r="M57" i="8" s="1"/>
  <c r="N11" i="8"/>
  <c r="N57" i="8" s="1"/>
  <c r="O11" i="8"/>
  <c r="O57" i="8" s="1"/>
  <c r="P11" i="8"/>
  <c r="P57" i="8" s="1"/>
  <c r="Q11" i="8"/>
  <c r="Q57" i="8" s="1"/>
  <c r="R11" i="8"/>
  <c r="R57" i="8" s="1"/>
  <c r="S11" i="8"/>
  <c r="S57" i="8" s="1"/>
  <c r="T11" i="8"/>
  <c r="T57" i="8" s="1"/>
  <c r="U11" i="8"/>
  <c r="U57" i="8" s="1"/>
  <c r="V11" i="8"/>
  <c r="V57" i="8" s="1"/>
  <c r="W11" i="8"/>
  <c r="W57" i="8" s="1"/>
  <c r="X11" i="8"/>
  <c r="X57" i="8" s="1"/>
  <c r="Y11" i="8"/>
  <c r="Y57" i="8" s="1"/>
  <c r="F12" i="8"/>
  <c r="F58" i="8" s="1"/>
  <c r="G12" i="8"/>
  <c r="G58" i="8" s="1"/>
  <c r="H12" i="8"/>
  <c r="H58" i="8" s="1"/>
  <c r="I12" i="8"/>
  <c r="I58" i="8" s="1"/>
  <c r="J12" i="8"/>
  <c r="J58" i="8" s="1"/>
  <c r="K12" i="8"/>
  <c r="K58" i="8" s="1"/>
  <c r="L12" i="8"/>
  <c r="L58" i="8" s="1"/>
  <c r="M12" i="8"/>
  <c r="M58" i="8" s="1"/>
  <c r="N12" i="8"/>
  <c r="N58" i="8" s="1"/>
  <c r="O12" i="8"/>
  <c r="O58" i="8" s="1"/>
  <c r="P12" i="8"/>
  <c r="P58" i="8" s="1"/>
  <c r="Q12" i="8"/>
  <c r="Q58" i="8" s="1"/>
  <c r="R12" i="8"/>
  <c r="R58" i="8" s="1"/>
  <c r="S12" i="8"/>
  <c r="S58" i="8" s="1"/>
  <c r="T12" i="8"/>
  <c r="T58" i="8" s="1"/>
  <c r="U12" i="8"/>
  <c r="U58" i="8" s="1"/>
  <c r="V12" i="8"/>
  <c r="V58" i="8" s="1"/>
  <c r="W12" i="8"/>
  <c r="W58" i="8" s="1"/>
  <c r="X12" i="8"/>
  <c r="X58" i="8" s="1"/>
  <c r="Y12" i="8"/>
  <c r="Y58" i="8" s="1"/>
  <c r="F13" i="8"/>
  <c r="F59" i="8" s="1"/>
  <c r="G13" i="8"/>
  <c r="G59" i="8" s="1"/>
  <c r="H13" i="8"/>
  <c r="H59" i="8" s="1"/>
  <c r="I13" i="8"/>
  <c r="I59" i="8" s="1"/>
  <c r="J13" i="8"/>
  <c r="J59" i="8" s="1"/>
  <c r="K13" i="8"/>
  <c r="K59" i="8" s="1"/>
  <c r="L13" i="8"/>
  <c r="L59" i="8" s="1"/>
  <c r="M13" i="8"/>
  <c r="M59" i="8" s="1"/>
  <c r="N13" i="8"/>
  <c r="N59" i="8" s="1"/>
  <c r="O13" i="8"/>
  <c r="O59" i="8" s="1"/>
  <c r="P13" i="8"/>
  <c r="P59" i="8" s="1"/>
  <c r="Q13" i="8"/>
  <c r="Q59" i="8" s="1"/>
  <c r="R13" i="8"/>
  <c r="R59" i="8" s="1"/>
  <c r="S13" i="8"/>
  <c r="S59" i="8" s="1"/>
  <c r="T13" i="8"/>
  <c r="T59" i="8" s="1"/>
  <c r="U13" i="8"/>
  <c r="U59" i="8" s="1"/>
  <c r="V13" i="8"/>
  <c r="V59" i="8" s="1"/>
  <c r="W13" i="8"/>
  <c r="W59" i="8" s="1"/>
  <c r="X13" i="8"/>
  <c r="X59" i="8" s="1"/>
  <c r="Y13" i="8"/>
  <c r="Y59" i="8" s="1"/>
  <c r="F14" i="8"/>
  <c r="F60" i="8" s="1"/>
  <c r="G14" i="8"/>
  <c r="G60" i="8" s="1"/>
  <c r="H14" i="8"/>
  <c r="H60" i="8" s="1"/>
  <c r="I14" i="8"/>
  <c r="I60" i="8" s="1"/>
  <c r="J14" i="8"/>
  <c r="J60" i="8" s="1"/>
  <c r="K14" i="8"/>
  <c r="K60" i="8" s="1"/>
  <c r="L14" i="8"/>
  <c r="L60" i="8" s="1"/>
  <c r="M14" i="8"/>
  <c r="M60" i="8" s="1"/>
  <c r="N14" i="8"/>
  <c r="N60" i="8" s="1"/>
  <c r="O14" i="8"/>
  <c r="O60" i="8" s="1"/>
  <c r="P14" i="8"/>
  <c r="P60" i="8" s="1"/>
  <c r="Q14" i="8"/>
  <c r="Q60" i="8" s="1"/>
  <c r="R14" i="8"/>
  <c r="R60" i="8" s="1"/>
  <c r="S14" i="8"/>
  <c r="S60" i="8" s="1"/>
  <c r="T14" i="8"/>
  <c r="T60" i="8" s="1"/>
  <c r="U14" i="8"/>
  <c r="U60" i="8" s="1"/>
  <c r="V14" i="8"/>
  <c r="V60" i="8" s="1"/>
  <c r="W14" i="8"/>
  <c r="W60" i="8" s="1"/>
  <c r="X14" i="8"/>
  <c r="X60" i="8" s="1"/>
  <c r="Y14" i="8"/>
  <c r="Y60" i="8" s="1"/>
  <c r="F15" i="8"/>
  <c r="F61" i="8" s="1"/>
  <c r="G15" i="8"/>
  <c r="G61" i="8" s="1"/>
  <c r="H15" i="8"/>
  <c r="H61" i="8" s="1"/>
  <c r="I15" i="8"/>
  <c r="I61" i="8" s="1"/>
  <c r="J15" i="8"/>
  <c r="J61" i="8" s="1"/>
  <c r="K15" i="8"/>
  <c r="K61" i="8" s="1"/>
  <c r="L15" i="8"/>
  <c r="L61" i="8" s="1"/>
  <c r="M15" i="8"/>
  <c r="M61" i="8" s="1"/>
  <c r="N15" i="8"/>
  <c r="N61" i="8" s="1"/>
  <c r="O15" i="8"/>
  <c r="O61" i="8" s="1"/>
  <c r="P15" i="8"/>
  <c r="P61" i="8" s="1"/>
  <c r="Q15" i="8"/>
  <c r="Q61" i="8" s="1"/>
  <c r="R15" i="8"/>
  <c r="R61" i="8" s="1"/>
  <c r="S15" i="8"/>
  <c r="S61" i="8" s="1"/>
  <c r="T15" i="8"/>
  <c r="T61" i="8" s="1"/>
  <c r="U15" i="8"/>
  <c r="U61" i="8" s="1"/>
  <c r="V15" i="8"/>
  <c r="V61" i="8" s="1"/>
  <c r="W15" i="8"/>
  <c r="W61" i="8" s="1"/>
  <c r="X15" i="8"/>
  <c r="X61" i="8" s="1"/>
  <c r="Y15" i="8"/>
  <c r="Y61" i="8" s="1"/>
  <c r="F16" i="8"/>
  <c r="F62" i="8" s="1"/>
  <c r="G16" i="8"/>
  <c r="G62" i="8" s="1"/>
  <c r="H16" i="8"/>
  <c r="H62" i="8" s="1"/>
  <c r="I16" i="8"/>
  <c r="I62" i="8" s="1"/>
  <c r="J16" i="8"/>
  <c r="J62" i="8" s="1"/>
  <c r="K16" i="8"/>
  <c r="K62" i="8" s="1"/>
  <c r="L16" i="8"/>
  <c r="L62" i="8" s="1"/>
  <c r="M16" i="8"/>
  <c r="M62" i="8" s="1"/>
  <c r="N16" i="8"/>
  <c r="N62" i="8" s="1"/>
  <c r="O16" i="8"/>
  <c r="O62" i="8" s="1"/>
  <c r="P16" i="8"/>
  <c r="P62" i="8" s="1"/>
  <c r="Q16" i="8"/>
  <c r="Q62" i="8" s="1"/>
  <c r="R16" i="8"/>
  <c r="R62" i="8" s="1"/>
  <c r="S16" i="8"/>
  <c r="S62" i="8" s="1"/>
  <c r="T16" i="8"/>
  <c r="T62" i="8" s="1"/>
  <c r="U16" i="8"/>
  <c r="U62" i="8" s="1"/>
  <c r="V16" i="8"/>
  <c r="V62" i="8" s="1"/>
  <c r="W16" i="8"/>
  <c r="W62" i="8" s="1"/>
  <c r="X16" i="8"/>
  <c r="X62" i="8" s="1"/>
  <c r="Y16" i="8"/>
  <c r="Y62" i="8" s="1"/>
  <c r="F17" i="8"/>
  <c r="F63" i="8" s="1"/>
  <c r="G17" i="8"/>
  <c r="G63" i="8" s="1"/>
  <c r="H17" i="8"/>
  <c r="H63" i="8" s="1"/>
  <c r="I17" i="8"/>
  <c r="I63" i="8" s="1"/>
  <c r="J17" i="8"/>
  <c r="J63" i="8" s="1"/>
  <c r="K17" i="8"/>
  <c r="K63" i="8" s="1"/>
  <c r="L17" i="8"/>
  <c r="L63" i="8" s="1"/>
  <c r="M17" i="8"/>
  <c r="M63" i="8" s="1"/>
  <c r="N17" i="8"/>
  <c r="N63" i="8" s="1"/>
  <c r="O17" i="8"/>
  <c r="O63" i="8" s="1"/>
  <c r="P17" i="8"/>
  <c r="P63" i="8" s="1"/>
  <c r="Q17" i="8"/>
  <c r="Q63" i="8" s="1"/>
  <c r="R17" i="8"/>
  <c r="R63" i="8" s="1"/>
  <c r="S17" i="8"/>
  <c r="S63" i="8" s="1"/>
  <c r="T17" i="8"/>
  <c r="T63" i="8" s="1"/>
  <c r="U17" i="8"/>
  <c r="U63" i="8" s="1"/>
  <c r="V17" i="8"/>
  <c r="V63" i="8" s="1"/>
  <c r="W17" i="8"/>
  <c r="W63" i="8" s="1"/>
  <c r="X17" i="8"/>
  <c r="X63" i="8" s="1"/>
  <c r="Y17" i="8"/>
  <c r="Y63" i="8" s="1"/>
  <c r="F18" i="8"/>
  <c r="F64" i="8" s="1"/>
  <c r="G18" i="8"/>
  <c r="G64" i="8" s="1"/>
  <c r="H18" i="8"/>
  <c r="H64" i="8" s="1"/>
  <c r="I18" i="8"/>
  <c r="I64" i="8" s="1"/>
  <c r="J18" i="8"/>
  <c r="J64" i="8" s="1"/>
  <c r="K18" i="8"/>
  <c r="K64" i="8" s="1"/>
  <c r="L18" i="8"/>
  <c r="L64" i="8" s="1"/>
  <c r="M18" i="8"/>
  <c r="M64" i="8" s="1"/>
  <c r="N18" i="8"/>
  <c r="N64" i="8" s="1"/>
  <c r="O18" i="8"/>
  <c r="O64" i="8" s="1"/>
  <c r="P18" i="8"/>
  <c r="P64" i="8" s="1"/>
  <c r="Q18" i="8"/>
  <c r="Q64" i="8" s="1"/>
  <c r="R18" i="8"/>
  <c r="R64" i="8" s="1"/>
  <c r="S18" i="8"/>
  <c r="S64" i="8" s="1"/>
  <c r="T18" i="8"/>
  <c r="T64" i="8" s="1"/>
  <c r="U18" i="8"/>
  <c r="U64" i="8" s="1"/>
  <c r="V18" i="8"/>
  <c r="V64" i="8" s="1"/>
  <c r="W18" i="8"/>
  <c r="W64" i="8" s="1"/>
  <c r="X18" i="8"/>
  <c r="X64" i="8" s="1"/>
  <c r="Y18" i="8"/>
  <c r="Y64" i="8" s="1"/>
  <c r="F19" i="8"/>
  <c r="F65" i="8" s="1"/>
  <c r="G19" i="8"/>
  <c r="G65" i="8" s="1"/>
  <c r="H19" i="8"/>
  <c r="H65" i="8" s="1"/>
  <c r="I19" i="8"/>
  <c r="I65" i="8" s="1"/>
  <c r="J19" i="8"/>
  <c r="J65" i="8" s="1"/>
  <c r="K19" i="8"/>
  <c r="K65" i="8" s="1"/>
  <c r="L19" i="8"/>
  <c r="L65" i="8" s="1"/>
  <c r="M19" i="8"/>
  <c r="M65" i="8" s="1"/>
  <c r="N19" i="8"/>
  <c r="N65" i="8" s="1"/>
  <c r="O19" i="8"/>
  <c r="O65" i="8" s="1"/>
  <c r="P19" i="8"/>
  <c r="P65" i="8" s="1"/>
  <c r="Q19" i="8"/>
  <c r="Q65" i="8" s="1"/>
  <c r="R19" i="8"/>
  <c r="R65" i="8" s="1"/>
  <c r="S19" i="8"/>
  <c r="S65" i="8" s="1"/>
  <c r="T19" i="8"/>
  <c r="T65" i="8" s="1"/>
  <c r="U19" i="8"/>
  <c r="U65" i="8" s="1"/>
  <c r="V19" i="8"/>
  <c r="V65" i="8" s="1"/>
  <c r="W19" i="8"/>
  <c r="W65" i="8" s="1"/>
  <c r="X19" i="8"/>
  <c r="X65" i="8" s="1"/>
  <c r="Y19" i="8"/>
  <c r="Y65" i="8" s="1"/>
  <c r="F20" i="8"/>
  <c r="F66" i="8" s="1"/>
  <c r="G20" i="8"/>
  <c r="G66" i="8" s="1"/>
  <c r="H20" i="8"/>
  <c r="H66" i="8" s="1"/>
  <c r="I20" i="8"/>
  <c r="I66" i="8" s="1"/>
  <c r="J20" i="8"/>
  <c r="J66" i="8" s="1"/>
  <c r="K20" i="8"/>
  <c r="K66" i="8" s="1"/>
  <c r="L20" i="8"/>
  <c r="L66" i="8" s="1"/>
  <c r="M20" i="8"/>
  <c r="M66" i="8" s="1"/>
  <c r="N20" i="8"/>
  <c r="N66" i="8" s="1"/>
  <c r="O20" i="8"/>
  <c r="O66" i="8" s="1"/>
  <c r="P20" i="8"/>
  <c r="P66" i="8" s="1"/>
  <c r="Q20" i="8"/>
  <c r="Q66" i="8" s="1"/>
  <c r="R20" i="8"/>
  <c r="R66" i="8" s="1"/>
  <c r="S20" i="8"/>
  <c r="S66" i="8" s="1"/>
  <c r="T20" i="8"/>
  <c r="T66" i="8" s="1"/>
  <c r="U20" i="8"/>
  <c r="U66" i="8" s="1"/>
  <c r="V20" i="8"/>
  <c r="V66" i="8" s="1"/>
  <c r="W20" i="8"/>
  <c r="W66" i="8" s="1"/>
  <c r="X20" i="8"/>
  <c r="X66" i="8" s="1"/>
  <c r="Y20" i="8"/>
  <c r="Y66" i="8" s="1"/>
  <c r="F21" i="8"/>
  <c r="F67" i="8" s="1"/>
  <c r="G21" i="8"/>
  <c r="G67" i="8" s="1"/>
  <c r="H21" i="8"/>
  <c r="H67" i="8" s="1"/>
  <c r="I21" i="8"/>
  <c r="I67" i="8" s="1"/>
  <c r="J21" i="8"/>
  <c r="J67" i="8" s="1"/>
  <c r="K21" i="8"/>
  <c r="K67" i="8" s="1"/>
  <c r="L21" i="8"/>
  <c r="L67" i="8" s="1"/>
  <c r="M21" i="8"/>
  <c r="M67" i="8" s="1"/>
  <c r="N21" i="8"/>
  <c r="N67" i="8" s="1"/>
  <c r="O21" i="8"/>
  <c r="O67" i="8" s="1"/>
  <c r="P21" i="8"/>
  <c r="P67" i="8" s="1"/>
  <c r="Q21" i="8"/>
  <c r="Q67" i="8" s="1"/>
  <c r="R21" i="8"/>
  <c r="R67" i="8" s="1"/>
  <c r="S21" i="8"/>
  <c r="S67" i="8" s="1"/>
  <c r="T21" i="8"/>
  <c r="T67" i="8" s="1"/>
  <c r="U21" i="8"/>
  <c r="U67" i="8" s="1"/>
  <c r="V21" i="8"/>
  <c r="V67" i="8" s="1"/>
  <c r="W21" i="8"/>
  <c r="W67" i="8" s="1"/>
  <c r="X21" i="8"/>
  <c r="X67" i="8" s="1"/>
  <c r="Y21" i="8"/>
  <c r="Y67" i="8" s="1"/>
  <c r="F22" i="8"/>
  <c r="F68" i="8" s="1"/>
  <c r="G22" i="8"/>
  <c r="G68" i="8" s="1"/>
  <c r="H22" i="8"/>
  <c r="H68" i="8" s="1"/>
  <c r="I22" i="8"/>
  <c r="I68" i="8" s="1"/>
  <c r="J22" i="8"/>
  <c r="J68" i="8" s="1"/>
  <c r="K22" i="8"/>
  <c r="K68" i="8" s="1"/>
  <c r="L22" i="8"/>
  <c r="L68" i="8" s="1"/>
  <c r="M22" i="8"/>
  <c r="M68" i="8" s="1"/>
  <c r="N22" i="8"/>
  <c r="N68" i="8" s="1"/>
  <c r="O22" i="8"/>
  <c r="O68" i="8" s="1"/>
  <c r="P22" i="8"/>
  <c r="P68" i="8" s="1"/>
  <c r="Q22" i="8"/>
  <c r="Q68" i="8" s="1"/>
  <c r="R22" i="8"/>
  <c r="R68" i="8" s="1"/>
  <c r="S22" i="8"/>
  <c r="S68" i="8" s="1"/>
  <c r="T22" i="8"/>
  <c r="T68" i="8" s="1"/>
  <c r="U22" i="8"/>
  <c r="U68" i="8" s="1"/>
  <c r="V22" i="8"/>
  <c r="V68" i="8" s="1"/>
  <c r="W22" i="8"/>
  <c r="W68" i="8" s="1"/>
  <c r="X22" i="8"/>
  <c r="X68" i="8" s="1"/>
  <c r="Y22" i="8"/>
  <c r="Y68" i="8" s="1"/>
  <c r="F23" i="8"/>
  <c r="F69" i="8" s="1"/>
  <c r="G23" i="8"/>
  <c r="G69" i="8" s="1"/>
  <c r="H23" i="8"/>
  <c r="H69" i="8" s="1"/>
  <c r="I23" i="8"/>
  <c r="I69" i="8" s="1"/>
  <c r="J23" i="8"/>
  <c r="J69" i="8" s="1"/>
  <c r="K23" i="8"/>
  <c r="K69" i="8" s="1"/>
  <c r="L23" i="8"/>
  <c r="L69" i="8" s="1"/>
  <c r="M23" i="8"/>
  <c r="M69" i="8" s="1"/>
  <c r="P23" i="8"/>
  <c r="P69" i="8" s="1"/>
  <c r="Q23" i="8"/>
  <c r="Q69" i="8" s="1"/>
  <c r="R23" i="8"/>
  <c r="R69" i="8" s="1"/>
  <c r="S23" i="8"/>
  <c r="S69" i="8" s="1"/>
  <c r="T23" i="8"/>
  <c r="T69" i="8" s="1"/>
  <c r="U23" i="8"/>
  <c r="U69" i="8" s="1"/>
  <c r="V23" i="8"/>
  <c r="V69" i="8" s="1"/>
  <c r="W23" i="8"/>
  <c r="W69" i="8" s="1"/>
  <c r="X23" i="8"/>
  <c r="X69" i="8" s="1"/>
  <c r="Y23" i="8"/>
  <c r="Y69" i="8" s="1"/>
  <c r="F24" i="8"/>
  <c r="F70" i="8" s="1"/>
  <c r="G24" i="8"/>
  <c r="G70" i="8" s="1"/>
  <c r="H24" i="8"/>
  <c r="H70" i="8" s="1"/>
  <c r="I24" i="8"/>
  <c r="I70" i="8" s="1"/>
  <c r="J24" i="8"/>
  <c r="J70" i="8" s="1"/>
  <c r="K24" i="8"/>
  <c r="K70" i="8" s="1"/>
  <c r="L24" i="8"/>
  <c r="L70" i="8" s="1"/>
  <c r="M24" i="8"/>
  <c r="M70" i="8" s="1"/>
  <c r="N24" i="8"/>
  <c r="N70" i="8" s="1"/>
  <c r="O24" i="8"/>
  <c r="O70" i="8" s="1"/>
  <c r="P24" i="8"/>
  <c r="P70" i="8" s="1"/>
  <c r="Q24" i="8"/>
  <c r="Q70" i="8" s="1"/>
  <c r="R24" i="8"/>
  <c r="R70" i="8" s="1"/>
  <c r="S24" i="8"/>
  <c r="S70" i="8" s="1"/>
  <c r="T24" i="8"/>
  <c r="T70" i="8" s="1"/>
  <c r="U24" i="8"/>
  <c r="U70" i="8" s="1"/>
  <c r="V24" i="8"/>
  <c r="V70" i="8" s="1"/>
  <c r="W24" i="8"/>
  <c r="W70" i="8" s="1"/>
  <c r="X24" i="8"/>
  <c r="X70" i="8" s="1"/>
  <c r="Y24" i="8"/>
  <c r="Y70" i="8" s="1"/>
  <c r="F25" i="8"/>
  <c r="F71" i="8" s="1"/>
  <c r="G25" i="8"/>
  <c r="G71" i="8" s="1"/>
  <c r="H25" i="8"/>
  <c r="H71" i="8" s="1"/>
  <c r="I25" i="8"/>
  <c r="I71" i="8" s="1"/>
  <c r="J25" i="8"/>
  <c r="J71" i="8" s="1"/>
  <c r="K25" i="8"/>
  <c r="K71" i="8" s="1"/>
  <c r="L25" i="8"/>
  <c r="L71" i="8" s="1"/>
  <c r="M25" i="8"/>
  <c r="M71" i="8" s="1"/>
  <c r="N25" i="8"/>
  <c r="N71" i="8" s="1"/>
  <c r="O25" i="8"/>
  <c r="O71" i="8" s="1"/>
  <c r="P25" i="8"/>
  <c r="P71" i="8" s="1"/>
  <c r="Q25" i="8"/>
  <c r="Q71" i="8" s="1"/>
  <c r="R25" i="8"/>
  <c r="R71" i="8" s="1"/>
  <c r="S25" i="8"/>
  <c r="S71" i="8" s="1"/>
  <c r="T25" i="8"/>
  <c r="T71" i="8" s="1"/>
  <c r="U25" i="8"/>
  <c r="U71" i="8" s="1"/>
  <c r="V25" i="8"/>
  <c r="V71" i="8" s="1"/>
  <c r="W25" i="8"/>
  <c r="W71" i="8" s="1"/>
  <c r="X25" i="8"/>
  <c r="X71" i="8" s="1"/>
  <c r="Y25" i="8"/>
  <c r="Y71" i="8" s="1"/>
  <c r="F26" i="8"/>
  <c r="F72" i="8" s="1"/>
  <c r="G26" i="8"/>
  <c r="G72" i="8" s="1"/>
  <c r="H26" i="8"/>
  <c r="H72" i="8" s="1"/>
  <c r="I26" i="8"/>
  <c r="I72" i="8" s="1"/>
  <c r="J26" i="8"/>
  <c r="J72" i="8" s="1"/>
  <c r="K26" i="8"/>
  <c r="K72" i="8" s="1"/>
  <c r="L26" i="8"/>
  <c r="L72" i="8" s="1"/>
  <c r="M26" i="8"/>
  <c r="M72" i="8" s="1"/>
  <c r="N26" i="8"/>
  <c r="N72" i="8" s="1"/>
  <c r="O26" i="8"/>
  <c r="O72" i="8" s="1"/>
  <c r="P26" i="8"/>
  <c r="P72" i="8" s="1"/>
  <c r="Q26" i="8"/>
  <c r="Q72" i="8" s="1"/>
  <c r="R26" i="8"/>
  <c r="R72" i="8" s="1"/>
  <c r="S26" i="8"/>
  <c r="S72" i="8" s="1"/>
  <c r="T26" i="8"/>
  <c r="T72" i="8" s="1"/>
  <c r="U26" i="8"/>
  <c r="U72" i="8" s="1"/>
  <c r="V26" i="8"/>
  <c r="V72" i="8" s="1"/>
  <c r="W26" i="8"/>
  <c r="W72" i="8" s="1"/>
  <c r="X26" i="8"/>
  <c r="X72" i="8" s="1"/>
  <c r="Y26" i="8"/>
  <c r="Y72" i="8" s="1"/>
  <c r="F27" i="8"/>
  <c r="F73" i="8" s="1"/>
  <c r="G27" i="8"/>
  <c r="G73" i="8" s="1"/>
  <c r="H27" i="8"/>
  <c r="H73" i="8" s="1"/>
  <c r="I27" i="8"/>
  <c r="I73" i="8" s="1"/>
  <c r="J27" i="8"/>
  <c r="J73" i="8" s="1"/>
  <c r="K27" i="8"/>
  <c r="K73" i="8" s="1"/>
  <c r="L27" i="8"/>
  <c r="L73" i="8" s="1"/>
  <c r="M27" i="8"/>
  <c r="M73" i="8" s="1"/>
  <c r="N27" i="8"/>
  <c r="N73" i="8" s="1"/>
  <c r="O27" i="8"/>
  <c r="O73" i="8" s="1"/>
  <c r="P27" i="8"/>
  <c r="P73" i="8" s="1"/>
  <c r="Q27" i="8"/>
  <c r="Q73" i="8" s="1"/>
  <c r="R27" i="8"/>
  <c r="R73" i="8" s="1"/>
  <c r="S27" i="8"/>
  <c r="S73" i="8" s="1"/>
  <c r="T27" i="8"/>
  <c r="T73" i="8" s="1"/>
  <c r="U27" i="8"/>
  <c r="U73" i="8" s="1"/>
  <c r="V27" i="8"/>
  <c r="V73" i="8" s="1"/>
  <c r="W27" i="8"/>
  <c r="W73" i="8" s="1"/>
  <c r="X27" i="8"/>
  <c r="X73" i="8" s="1"/>
  <c r="Y27" i="8"/>
  <c r="Y73" i="8" s="1"/>
  <c r="F28" i="8"/>
  <c r="F74" i="8" s="1"/>
  <c r="G28" i="8"/>
  <c r="G74" i="8" s="1"/>
  <c r="H28" i="8"/>
  <c r="H74" i="8" s="1"/>
  <c r="I28" i="8"/>
  <c r="I74" i="8" s="1"/>
  <c r="J28" i="8"/>
  <c r="J74" i="8" s="1"/>
  <c r="K28" i="8"/>
  <c r="K74" i="8" s="1"/>
  <c r="L28" i="8"/>
  <c r="L74" i="8" s="1"/>
  <c r="M28" i="8"/>
  <c r="M74" i="8" s="1"/>
  <c r="N28" i="8"/>
  <c r="N74" i="8" s="1"/>
  <c r="O28" i="8"/>
  <c r="O74" i="8" s="1"/>
  <c r="P28" i="8"/>
  <c r="P74" i="8" s="1"/>
  <c r="Q28" i="8"/>
  <c r="Q74" i="8" s="1"/>
  <c r="R28" i="8"/>
  <c r="R74" i="8" s="1"/>
  <c r="S28" i="8"/>
  <c r="S74" i="8" s="1"/>
  <c r="T28" i="8"/>
  <c r="T74" i="8" s="1"/>
  <c r="U28" i="8"/>
  <c r="U74" i="8" s="1"/>
  <c r="V28" i="8"/>
  <c r="V74" i="8" s="1"/>
  <c r="W28" i="8"/>
  <c r="W74" i="8" s="1"/>
  <c r="X28" i="8"/>
  <c r="X74" i="8" s="1"/>
  <c r="Y28" i="8"/>
  <c r="Y74" i="8" s="1"/>
  <c r="C50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Z17" i="8"/>
  <c r="Z63" i="8" s="1"/>
  <c r="AA17" i="8"/>
  <c r="AA63" i="8" s="1"/>
  <c r="AB17" i="8"/>
  <c r="AB63" i="8" s="1"/>
  <c r="AC17" i="8"/>
  <c r="AC63" i="8" s="1"/>
  <c r="Z14" i="8"/>
  <c r="Z60" i="8" s="1"/>
  <c r="AA14" i="8"/>
  <c r="AA60" i="8" s="1"/>
  <c r="AB14" i="8"/>
  <c r="AB60" i="8" s="1"/>
  <c r="AC14" i="8"/>
  <c r="AC60" i="8" s="1"/>
  <c r="Z15" i="8"/>
  <c r="Z61" i="8" s="1"/>
  <c r="AA15" i="8"/>
  <c r="AA61" i="8" s="1"/>
  <c r="AB15" i="8"/>
  <c r="AB61" i="8" s="1"/>
  <c r="AC15" i="8"/>
  <c r="AC61" i="8" s="1"/>
  <c r="Z10" i="8"/>
  <c r="Z56" i="8" s="1"/>
  <c r="AA10" i="8"/>
  <c r="AA56" i="8" s="1"/>
  <c r="AB10" i="8"/>
  <c r="AB56" i="8" s="1"/>
  <c r="AC10" i="8"/>
  <c r="AC56" i="8" s="1"/>
  <c r="Z11" i="8"/>
  <c r="Z57" i="8" s="1"/>
  <c r="AA11" i="8"/>
  <c r="AA57" i="8" s="1"/>
  <c r="AB11" i="8"/>
  <c r="AB57" i="8" s="1"/>
  <c r="AC11" i="8"/>
  <c r="AC57" i="8" s="1"/>
  <c r="Z4" i="8"/>
  <c r="AA4" i="8"/>
  <c r="AB4" i="8"/>
  <c r="AC4" i="8"/>
  <c r="Z5" i="8"/>
  <c r="Z51" i="8" s="1"/>
  <c r="AA5" i="8"/>
  <c r="AA51" i="8" s="1"/>
  <c r="AB5" i="8"/>
  <c r="AB51" i="8" s="1"/>
  <c r="AC5" i="8"/>
  <c r="AC51" i="8" s="1"/>
  <c r="Z6" i="8"/>
  <c r="Z52" i="8" s="1"/>
  <c r="AA6" i="8"/>
  <c r="AA52" i="8" s="1"/>
  <c r="AB6" i="8"/>
  <c r="AB52" i="8" s="1"/>
  <c r="AC6" i="8"/>
  <c r="AC52" i="8" s="1"/>
  <c r="Z7" i="8"/>
  <c r="Z53" i="8" s="1"/>
  <c r="AA7" i="8"/>
  <c r="AA53" i="8" s="1"/>
  <c r="AB7" i="8"/>
  <c r="AB53" i="8" s="1"/>
  <c r="AC7" i="8"/>
  <c r="AC53" i="8" s="1"/>
  <c r="Z8" i="8"/>
  <c r="Z54" i="8" s="1"/>
  <c r="AA8" i="8"/>
  <c r="AA54" i="8" s="1"/>
  <c r="AB8" i="8"/>
  <c r="AB54" i="8" s="1"/>
  <c r="AC8" i="8"/>
  <c r="AC54" i="8" s="1"/>
  <c r="Z9" i="8"/>
  <c r="Z55" i="8" s="1"/>
  <c r="AA9" i="8"/>
  <c r="AA55" i="8" s="1"/>
  <c r="AB9" i="8"/>
  <c r="AB55" i="8" s="1"/>
  <c r="AC9" i="8"/>
  <c r="AC55" i="8" s="1"/>
  <c r="Z12" i="8"/>
  <c r="Z58" i="8" s="1"/>
  <c r="AA12" i="8"/>
  <c r="AA58" i="8" s="1"/>
  <c r="AB12" i="8"/>
  <c r="AB58" i="8" s="1"/>
  <c r="AC12" i="8"/>
  <c r="AC58" i="8" s="1"/>
  <c r="Z13" i="8"/>
  <c r="Z59" i="8" s="1"/>
  <c r="AA13" i="8"/>
  <c r="AA59" i="8" s="1"/>
  <c r="AB13" i="8"/>
  <c r="AB59" i="8" s="1"/>
  <c r="AC13" i="8"/>
  <c r="AC59" i="8" s="1"/>
  <c r="Z16" i="8"/>
  <c r="Z62" i="8" s="1"/>
  <c r="AA16" i="8"/>
  <c r="AA62" i="8" s="1"/>
  <c r="AB16" i="8"/>
  <c r="AB62" i="8" s="1"/>
  <c r="AC16" i="8"/>
  <c r="AC62" i="8" s="1"/>
  <c r="Z18" i="8"/>
  <c r="Z64" i="8" s="1"/>
  <c r="AA18" i="8"/>
  <c r="AA64" i="8" s="1"/>
  <c r="AB18" i="8"/>
  <c r="AB64" i="8" s="1"/>
  <c r="AC18" i="8"/>
  <c r="AC64" i="8" s="1"/>
  <c r="Z19" i="8"/>
  <c r="Z65" i="8" s="1"/>
  <c r="AA19" i="8"/>
  <c r="AA65" i="8" s="1"/>
  <c r="AB19" i="8"/>
  <c r="AB65" i="8" s="1"/>
  <c r="AC19" i="8"/>
  <c r="AC65" i="8" s="1"/>
  <c r="Z20" i="8"/>
  <c r="Z66" i="8" s="1"/>
  <c r="AA20" i="8"/>
  <c r="AA66" i="8" s="1"/>
  <c r="AB20" i="8"/>
  <c r="AB66" i="8" s="1"/>
  <c r="AC20" i="8"/>
  <c r="AC66" i="8" s="1"/>
  <c r="Z21" i="8"/>
  <c r="Z67" i="8" s="1"/>
  <c r="AA21" i="8"/>
  <c r="AA67" i="8" s="1"/>
  <c r="AB21" i="8"/>
  <c r="AB67" i="8" s="1"/>
  <c r="AC21" i="8"/>
  <c r="AC67" i="8" s="1"/>
  <c r="Z22" i="8"/>
  <c r="Z68" i="8" s="1"/>
  <c r="AA22" i="8"/>
  <c r="AA68" i="8" s="1"/>
  <c r="AB22" i="8"/>
  <c r="AB68" i="8" s="1"/>
  <c r="AC22" i="8"/>
  <c r="AC68" i="8" s="1"/>
  <c r="Z23" i="8"/>
  <c r="Z69" i="8" s="1"/>
  <c r="AA23" i="8"/>
  <c r="AA69" i="8" s="1"/>
  <c r="AB23" i="8"/>
  <c r="AB69" i="8" s="1"/>
  <c r="AC23" i="8"/>
  <c r="AC69" i="8" s="1"/>
  <c r="Z24" i="8"/>
  <c r="Z70" i="8" s="1"/>
  <c r="AA24" i="8"/>
  <c r="AA70" i="8" s="1"/>
  <c r="AB24" i="8"/>
  <c r="AB70" i="8" s="1"/>
  <c r="AC24" i="8"/>
  <c r="AC70" i="8" s="1"/>
  <c r="Z25" i="8"/>
  <c r="Z71" i="8" s="1"/>
  <c r="AA25" i="8"/>
  <c r="AA71" i="8" s="1"/>
  <c r="AB25" i="8"/>
  <c r="AB71" i="8" s="1"/>
  <c r="AC25" i="8"/>
  <c r="AC71" i="8" s="1"/>
  <c r="Z26" i="8"/>
  <c r="Z72" i="8" s="1"/>
  <c r="AA26" i="8"/>
  <c r="AA72" i="8" s="1"/>
  <c r="AB26" i="8"/>
  <c r="AB72" i="8" s="1"/>
  <c r="AC26" i="8"/>
  <c r="AC72" i="8" s="1"/>
  <c r="E4" i="8"/>
  <c r="D4" i="8"/>
  <c r="C4" i="8"/>
  <c r="E50" i="8"/>
  <c r="D50" i="8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" i="2"/>
  <c r="F46" i="1"/>
  <c r="AD5" i="8"/>
  <c r="AD51" i="8" s="1"/>
  <c r="AE5" i="8"/>
  <c r="AE51" i="8" s="1"/>
  <c r="AF5" i="8"/>
  <c r="AF51" i="8" s="1"/>
  <c r="AG5" i="8"/>
  <c r="AG51" i="8" s="1"/>
  <c r="AH5" i="8"/>
  <c r="AH51" i="8" s="1"/>
  <c r="AI5" i="8"/>
  <c r="AI51" i="8" s="1"/>
  <c r="AJ5" i="8"/>
  <c r="AJ51" i="8" s="1"/>
  <c r="AK5" i="8"/>
  <c r="AK51" i="8" s="1"/>
  <c r="AD6" i="8"/>
  <c r="AD52" i="8" s="1"/>
  <c r="AE6" i="8"/>
  <c r="AE52" i="8" s="1"/>
  <c r="AF6" i="8"/>
  <c r="AF52" i="8" s="1"/>
  <c r="AG6" i="8"/>
  <c r="AG52" i="8" s="1"/>
  <c r="AH6" i="8"/>
  <c r="AH52" i="8" s="1"/>
  <c r="AI6" i="8"/>
  <c r="AI52" i="8" s="1"/>
  <c r="AJ6" i="8"/>
  <c r="AJ52" i="8" s="1"/>
  <c r="AK6" i="8"/>
  <c r="AK52" i="8" s="1"/>
  <c r="AD7" i="8"/>
  <c r="AD53" i="8" s="1"/>
  <c r="AE7" i="8"/>
  <c r="AE53" i="8" s="1"/>
  <c r="AF7" i="8"/>
  <c r="AF53" i="8" s="1"/>
  <c r="AG7" i="8"/>
  <c r="AG53" i="8" s="1"/>
  <c r="AH7" i="8"/>
  <c r="AH53" i="8" s="1"/>
  <c r="AI7" i="8"/>
  <c r="AI53" i="8" s="1"/>
  <c r="AJ7" i="8"/>
  <c r="AJ53" i="8" s="1"/>
  <c r="AK7" i="8"/>
  <c r="AK53" i="8" s="1"/>
  <c r="AD8" i="8"/>
  <c r="AD54" i="8" s="1"/>
  <c r="AE8" i="8"/>
  <c r="AE54" i="8" s="1"/>
  <c r="AF8" i="8"/>
  <c r="AF54" i="8" s="1"/>
  <c r="AG8" i="8"/>
  <c r="AG54" i="8" s="1"/>
  <c r="AH8" i="8"/>
  <c r="AH54" i="8" s="1"/>
  <c r="AI8" i="8"/>
  <c r="AI54" i="8" s="1"/>
  <c r="AJ8" i="8"/>
  <c r="AJ54" i="8" s="1"/>
  <c r="AK8" i="8"/>
  <c r="AK54" i="8" s="1"/>
  <c r="AD9" i="8"/>
  <c r="AD55" i="8" s="1"/>
  <c r="AE9" i="8"/>
  <c r="AE55" i="8" s="1"/>
  <c r="AF9" i="8"/>
  <c r="AF55" i="8" s="1"/>
  <c r="AG9" i="8"/>
  <c r="AG55" i="8" s="1"/>
  <c r="AH9" i="8"/>
  <c r="AH55" i="8" s="1"/>
  <c r="AI9" i="8"/>
  <c r="AI55" i="8" s="1"/>
  <c r="AJ9" i="8"/>
  <c r="AJ55" i="8" s="1"/>
  <c r="AK9" i="8"/>
  <c r="AK55" i="8" s="1"/>
  <c r="AD10" i="8"/>
  <c r="AD56" i="8" s="1"/>
  <c r="AE10" i="8"/>
  <c r="AE56" i="8" s="1"/>
  <c r="AF10" i="8"/>
  <c r="AF56" i="8" s="1"/>
  <c r="AG10" i="8"/>
  <c r="AG56" i="8" s="1"/>
  <c r="AH10" i="8"/>
  <c r="AH56" i="8" s="1"/>
  <c r="AI10" i="8"/>
  <c r="AI56" i="8" s="1"/>
  <c r="AJ10" i="8"/>
  <c r="AJ56" i="8" s="1"/>
  <c r="AK10" i="8"/>
  <c r="AK56" i="8" s="1"/>
  <c r="AD11" i="8"/>
  <c r="AD57" i="8" s="1"/>
  <c r="AE11" i="8"/>
  <c r="AE57" i="8" s="1"/>
  <c r="AF11" i="8"/>
  <c r="AF57" i="8" s="1"/>
  <c r="AG11" i="8"/>
  <c r="AG57" i="8" s="1"/>
  <c r="AH11" i="8"/>
  <c r="AH57" i="8" s="1"/>
  <c r="AI11" i="8"/>
  <c r="AI57" i="8" s="1"/>
  <c r="AJ11" i="8"/>
  <c r="AJ57" i="8" s="1"/>
  <c r="AK11" i="8"/>
  <c r="AK57" i="8" s="1"/>
  <c r="AD12" i="8"/>
  <c r="AD58" i="8" s="1"/>
  <c r="AE12" i="8"/>
  <c r="AE58" i="8" s="1"/>
  <c r="AF12" i="8"/>
  <c r="AF58" i="8" s="1"/>
  <c r="AG12" i="8"/>
  <c r="AG58" i="8" s="1"/>
  <c r="AH12" i="8"/>
  <c r="AH58" i="8" s="1"/>
  <c r="AI12" i="8"/>
  <c r="AI58" i="8" s="1"/>
  <c r="AJ12" i="8"/>
  <c r="AJ58" i="8" s="1"/>
  <c r="AK12" i="8"/>
  <c r="AK58" i="8" s="1"/>
  <c r="AD13" i="8"/>
  <c r="AD59" i="8" s="1"/>
  <c r="AE13" i="8"/>
  <c r="AE59" i="8" s="1"/>
  <c r="AF13" i="8"/>
  <c r="AF59" i="8" s="1"/>
  <c r="AG13" i="8"/>
  <c r="AG59" i="8" s="1"/>
  <c r="AH13" i="8"/>
  <c r="AH59" i="8" s="1"/>
  <c r="AI13" i="8"/>
  <c r="AI59" i="8" s="1"/>
  <c r="AJ13" i="8"/>
  <c r="AJ59" i="8" s="1"/>
  <c r="AK13" i="8"/>
  <c r="AK59" i="8" s="1"/>
  <c r="AD14" i="8"/>
  <c r="AD60" i="8" s="1"/>
  <c r="AE14" i="8"/>
  <c r="AE60" i="8" s="1"/>
  <c r="AF14" i="8"/>
  <c r="AF60" i="8" s="1"/>
  <c r="AG14" i="8"/>
  <c r="AG60" i="8" s="1"/>
  <c r="AH14" i="8"/>
  <c r="AH60" i="8" s="1"/>
  <c r="AI14" i="8"/>
  <c r="AI60" i="8" s="1"/>
  <c r="AJ14" i="8"/>
  <c r="AJ60" i="8" s="1"/>
  <c r="AK14" i="8"/>
  <c r="AK60" i="8" s="1"/>
  <c r="AD15" i="8"/>
  <c r="AD61" i="8" s="1"/>
  <c r="AE15" i="8"/>
  <c r="AE61" i="8" s="1"/>
  <c r="AF15" i="8"/>
  <c r="AF61" i="8" s="1"/>
  <c r="AG15" i="8"/>
  <c r="AG61" i="8" s="1"/>
  <c r="AH15" i="8"/>
  <c r="AH61" i="8" s="1"/>
  <c r="AI15" i="8"/>
  <c r="AI61" i="8" s="1"/>
  <c r="AJ15" i="8"/>
  <c r="AJ61" i="8" s="1"/>
  <c r="AK15" i="8"/>
  <c r="AK61" i="8" s="1"/>
  <c r="AD16" i="8"/>
  <c r="AD62" i="8" s="1"/>
  <c r="AE16" i="8"/>
  <c r="AE62" i="8" s="1"/>
  <c r="AF16" i="8"/>
  <c r="AF62" i="8" s="1"/>
  <c r="AG16" i="8"/>
  <c r="AG62" i="8" s="1"/>
  <c r="AH16" i="8"/>
  <c r="AH62" i="8" s="1"/>
  <c r="AI16" i="8"/>
  <c r="AI62" i="8" s="1"/>
  <c r="AJ16" i="8"/>
  <c r="AJ62" i="8" s="1"/>
  <c r="AK16" i="8"/>
  <c r="AK62" i="8" s="1"/>
  <c r="AD17" i="8"/>
  <c r="AD63" i="8" s="1"/>
  <c r="AE17" i="8"/>
  <c r="AE63" i="8" s="1"/>
  <c r="AF17" i="8"/>
  <c r="AF63" i="8" s="1"/>
  <c r="AG17" i="8"/>
  <c r="AG63" i="8" s="1"/>
  <c r="AH17" i="8"/>
  <c r="AH63" i="8" s="1"/>
  <c r="AI17" i="8"/>
  <c r="AI63" i="8" s="1"/>
  <c r="AJ17" i="8"/>
  <c r="AJ63" i="8" s="1"/>
  <c r="AK17" i="8"/>
  <c r="AK63" i="8" s="1"/>
  <c r="AD18" i="8"/>
  <c r="AD64" i="8" s="1"/>
  <c r="AE18" i="8"/>
  <c r="AE64" i="8" s="1"/>
  <c r="AF18" i="8"/>
  <c r="AF64" i="8" s="1"/>
  <c r="AG18" i="8"/>
  <c r="AG64" i="8" s="1"/>
  <c r="AH18" i="8"/>
  <c r="AH64" i="8" s="1"/>
  <c r="AI18" i="8"/>
  <c r="AI64" i="8" s="1"/>
  <c r="AJ18" i="8"/>
  <c r="AJ64" i="8" s="1"/>
  <c r="AK18" i="8"/>
  <c r="AK64" i="8" s="1"/>
  <c r="AD19" i="8"/>
  <c r="AD65" i="8" s="1"/>
  <c r="AE19" i="8"/>
  <c r="AE65" i="8" s="1"/>
  <c r="AF19" i="8"/>
  <c r="AF65" i="8" s="1"/>
  <c r="AG19" i="8"/>
  <c r="AG65" i="8" s="1"/>
  <c r="AH19" i="8"/>
  <c r="AH65" i="8" s="1"/>
  <c r="AI19" i="8"/>
  <c r="AI65" i="8" s="1"/>
  <c r="AJ19" i="8"/>
  <c r="AJ65" i="8" s="1"/>
  <c r="AK19" i="8"/>
  <c r="AK65" i="8" s="1"/>
  <c r="AD20" i="8"/>
  <c r="AD66" i="8" s="1"/>
  <c r="AE20" i="8"/>
  <c r="AE66" i="8" s="1"/>
  <c r="AF20" i="8"/>
  <c r="AF66" i="8" s="1"/>
  <c r="AG20" i="8"/>
  <c r="AG66" i="8" s="1"/>
  <c r="AH20" i="8"/>
  <c r="AH66" i="8" s="1"/>
  <c r="AI20" i="8"/>
  <c r="AI66" i="8" s="1"/>
  <c r="AJ20" i="8"/>
  <c r="AJ66" i="8" s="1"/>
  <c r="AK20" i="8"/>
  <c r="AK66" i="8" s="1"/>
  <c r="AD21" i="8"/>
  <c r="AD67" i="8" s="1"/>
  <c r="AE21" i="8"/>
  <c r="AE67" i="8" s="1"/>
  <c r="AF21" i="8"/>
  <c r="AF67" i="8" s="1"/>
  <c r="AG21" i="8"/>
  <c r="AG67" i="8" s="1"/>
  <c r="AH21" i="8"/>
  <c r="AH67" i="8" s="1"/>
  <c r="AI21" i="8"/>
  <c r="AI67" i="8" s="1"/>
  <c r="AJ21" i="8"/>
  <c r="AJ67" i="8" s="1"/>
  <c r="AK21" i="8"/>
  <c r="AK67" i="8" s="1"/>
  <c r="AD22" i="8"/>
  <c r="AD68" i="8" s="1"/>
  <c r="AE22" i="8"/>
  <c r="AE68" i="8" s="1"/>
  <c r="AF22" i="8"/>
  <c r="AF68" i="8" s="1"/>
  <c r="AG22" i="8"/>
  <c r="AG68" i="8" s="1"/>
  <c r="AH22" i="8"/>
  <c r="AH68" i="8" s="1"/>
  <c r="AI22" i="8"/>
  <c r="AI68" i="8" s="1"/>
  <c r="AJ22" i="8"/>
  <c r="AJ68" i="8" s="1"/>
  <c r="AK22" i="8"/>
  <c r="AK68" i="8" s="1"/>
  <c r="AD23" i="8"/>
  <c r="AD69" i="8" s="1"/>
  <c r="AE23" i="8"/>
  <c r="AE69" i="8" s="1"/>
  <c r="AF23" i="8"/>
  <c r="AF69" i="8" s="1"/>
  <c r="AG23" i="8"/>
  <c r="AG69" i="8" s="1"/>
  <c r="AH23" i="8"/>
  <c r="AH69" i="8" s="1"/>
  <c r="AI23" i="8"/>
  <c r="AI69" i="8" s="1"/>
  <c r="AJ23" i="8"/>
  <c r="AJ69" i="8" s="1"/>
  <c r="AK23" i="8"/>
  <c r="AK69" i="8" s="1"/>
  <c r="AD24" i="8"/>
  <c r="AD70" i="8" s="1"/>
  <c r="AE24" i="8"/>
  <c r="AE70" i="8" s="1"/>
  <c r="AF24" i="8"/>
  <c r="AF70" i="8" s="1"/>
  <c r="AG24" i="8"/>
  <c r="AG70" i="8" s="1"/>
  <c r="AH24" i="8"/>
  <c r="AH70" i="8" s="1"/>
  <c r="AI24" i="8"/>
  <c r="AI70" i="8" s="1"/>
  <c r="AJ24" i="8"/>
  <c r="AJ70" i="8" s="1"/>
  <c r="AK24" i="8"/>
  <c r="AK70" i="8" s="1"/>
  <c r="AD25" i="8"/>
  <c r="AD71" i="8" s="1"/>
  <c r="AE25" i="8"/>
  <c r="AE71" i="8" s="1"/>
  <c r="AF25" i="8"/>
  <c r="AF71" i="8" s="1"/>
  <c r="AG25" i="8"/>
  <c r="AG71" i="8" s="1"/>
  <c r="AH25" i="8"/>
  <c r="AH71" i="8" s="1"/>
  <c r="AI25" i="8"/>
  <c r="AI71" i="8" s="1"/>
  <c r="AJ25" i="8"/>
  <c r="AJ71" i="8" s="1"/>
  <c r="AK25" i="8"/>
  <c r="AK71" i="8" s="1"/>
  <c r="AD26" i="8"/>
  <c r="AD72" i="8" s="1"/>
  <c r="AE26" i="8"/>
  <c r="AE72" i="8" s="1"/>
  <c r="AF26" i="8"/>
  <c r="AF72" i="8" s="1"/>
  <c r="AG26" i="8"/>
  <c r="AG72" i="8" s="1"/>
  <c r="AH26" i="8"/>
  <c r="AH72" i="8" s="1"/>
  <c r="AI26" i="8"/>
  <c r="AI72" i="8" s="1"/>
  <c r="AJ26" i="8"/>
  <c r="AJ72" i="8" s="1"/>
  <c r="AK26" i="8"/>
  <c r="AK72" i="8" s="1"/>
  <c r="Z27" i="8"/>
  <c r="Z73" i="8" s="1"/>
  <c r="AA27" i="8"/>
  <c r="AA73" i="8" s="1"/>
  <c r="AB27" i="8"/>
  <c r="AB73" i="8" s="1"/>
  <c r="AC27" i="8"/>
  <c r="AC73" i="8" s="1"/>
  <c r="AD27" i="8"/>
  <c r="AD73" i="8" s="1"/>
  <c r="AE27" i="8"/>
  <c r="AE73" i="8" s="1"/>
  <c r="AF27" i="8"/>
  <c r="AF73" i="8" s="1"/>
  <c r="AG27" i="8"/>
  <c r="AG73" i="8" s="1"/>
  <c r="AH27" i="8"/>
  <c r="AH73" i="8" s="1"/>
  <c r="AI27" i="8"/>
  <c r="AI73" i="8" s="1"/>
  <c r="AJ27" i="8"/>
  <c r="AJ73" i="8" s="1"/>
  <c r="AK27" i="8"/>
  <c r="AK73" i="8" s="1"/>
  <c r="Z28" i="8"/>
  <c r="Z74" i="8" s="1"/>
  <c r="AA28" i="8"/>
  <c r="AA74" i="8" s="1"/>
  <c r="AB28" i="8"/>
  <c r="AB74" i="8" s="1"/>
  <c r="AC28" i="8"/>
  <c r="AC74" i="8" s="1"/>
  <c r="AD28" i="8"/>
  <c r="AD74" i="8" s="1"/>
  <c r="AE28" i="8"/>
  <c r="AE74" i="8" s="1"/>
  <c r="AF28" i="8"/>
  <c r="AF74" i="8" s="1"/>
  <c r="AG28" i="8"/>
  <c r="AG74" i="8" s="1"/>
  <c r="AH28" i="8"/>
  <c r="AH74" i="8" s="1"/>
  <c r="AI28" i="8"/>
  <c r="AI74" i="8" s="1"/>
  <c r="AJ28" i="8"/>
  <c r="AJ74" i="8" s="1"/>
  <c r="AK28" i="8"/>
  <c r="AK74" i="8" s="1"/>
  <c r="Z29" i="8"/>
  <c r="Z75" i="8" s="1"/>
  <c r="AA29" i="8"/>
  <c r="AA75" i="8" s="1"/>
  <c r="AB29" i="8"/>
  <c r="AB75" i="8" s="1"/>
  <c r="AC29" i="8"/>
  <c r="AC75" i="8" s="1"/>
  <c r="AD29" i="8"/>
  <c r="AD75" i="8" s="1"/>
  <c r="AE29" i="8"/>
  <c r="AE75" i="8" s="1"/>
  <c r="AF29" i="8"/>
  <c r="AF75" i="8" s="1"/>
  <c r="AG29" i="8"/>
  <c r="AG75" i="8" s="1"/>
  <c r="AH29" i="8"/>
  <c r="AH75" i="8" s="1"/>
  <c r="AI29" i="8"/>
  <c r="AI75" i="8" s="1"/>
  <c r="AJ29" i="8"/>
  <c r="AJ75" i="8" s="1"/>
  <c r="AK29" i="8"/>
  <c r="AK75" i="8" s="1"/>
  <c r="Z30" i="8"/>
  <c r="Z76" i="8" s="1"/>
  <c r="AA30" i="8"/>
  <c r="AA76" i="8" s="1"/>
  <c r="AB30" i="8"/>
  <c r="AB76" i="8" s="1"/>
  <c r="AC30" i="8"/>
  <c r="AC76" i="8" s="1"/>
  <c r="AD30" i="8"/>
  <c r="AD76" i="8" s="1"/>
  <c r="AE30" i="8"/>
  <c r="AE76" i="8" s="1"/>
  <c r="AF30" i="8"/>
  <c r="AF76" i="8" s="1"/>
  <c r="AG30" i="8"/>
  <c r="AG76" i="8" s="1"/>
  <c r="AH30" i="8"/>
  <c r="AH76" i="8" s="1"/>
  <c r="AI30" i="8"/>
  <c r="AI76" i="8" s="1"/>
  <c r="AJ30" i="8"/>
  <c r="AJ76" i="8" s="1"/>
  <c r="AK30" i="8"/>
  <c r="AK76" i="8" s="1"/>
  <c r="Z31" i="8"/>
  <c r="Z77" i="8" s="1"/>
  <c r="AA31" i="8"/>
  <c r="AA77" i="8" s="1"/>
  <c r="AB31" i="8"/>
  <c r="AB77" i="8" s="1"/>
  <c r="AC31" i="8"/>
  <c r="AC77" i="8" s="1"/>
  <c r="AD31" i="8"/>
  <c r="AD77" i="8" s="1"/>
  <c r="AE31" i="8"/>
  <c r="AE77" i="8" s="1"/>
  <c r="AF31" i="8"/>
  <c r="AF77" i="8" s="1"/>
  <c r="AG31" i="8"/>
  <c r="AG77" i="8" s="1"/>
  <c r="AH31" i="8"/>
  <c r="AH77" i="8" s="1"/>
  <c r="AI31" i="8"/>
  <c r="AI77" i="8" s="1"/>
  <c r="AJ31" i="8"/>
  <c r="AJ77" i="8" s="1"/>
  <c r="AK31" i="8"/>
  <c r="AK77" i="8" s="1"/>
  <c r="Z32" i="8"/>
  <c r="Z78" i="8" s="1"/>
  <c r="AA32" i="8"/>
  <c r="AA78" i="8" s="1"/>
  <c r="AB32" i="8"/>
  <c r="AB78" i="8" s="1"/>
  <c r="AC32" i="8"/>
  <c r="AC78" i="8" s="1"/>
  <c r="AD32" i="8"/>
  <c r="AD78" i="8" s="1"/>
  <c r="AE32" i="8"/>
  <c r="AE78" i="8" s="1"/>
  <c r="AF32" i="8"/>
  <c r="AF78" i="8" s="1"/>
  <c r="AG32" i="8"/>
  <c r="AG78" i="8" s="1"/>
  <c r="AH32" i="8"/>
  <c r="AH78" i="8" s="1"/>
  <c r="AI32" i="8"/>
  <c r="AI78" i="8" s="1"/>
  <c r="AJ32" i="8"/>
  <c r="AJ78" i="8" s="1"/>
  <c r="AK32" i="8"/>
  <c r="AK78" i="8" s="1"/>
  <c r="Z33" i="8"/>
  <c r="Z79" i="8" s="1"/>
  <c r="AA33" i="8"/>
  <c r="AA79" i="8" s="1"/>
  <c r="AB33" i="8"/>
  <c r="AB79" i="8" s="1"/>
  <c r="AC33" i="8"/>
  <c r="AC79" i="8" s="1"/>
  <c r="AD33" i="8"/>
  <c r="AD79" i="8" s="1"/>
  <c r="AE33" i="8"/>
  <c r="AE79" i="8" s="1"/>
  <c r="AF33" i="8"/>
  <c r="AF79" i="8" s="1"/>
  <c r="AG33" i="8"/>
  <c r="AG79" i="8" s="1"/>
  <c r="AH33" i="8"/>
  <c r="AH79" i="8" s="1"/>
  <c r="AI33" i="8"/>
  <c r="AI79" i="8" s="1"/>
  <c r="AJ33" i="8"/>
  <c r="AJ79" i="8" s="1"/>
  <c r="AK33" i="8"/>
  <c r="AK79" i="8" s="1"/>
  <c r="Z34" i="8"/>
  <c r="Z80" i="8" s="1"/>
  <c r="AA34" i="8"/>
  <c r="AA80" i="8" s="1"/>
  <c r="AB34" i="8"/>
  <c r="AB80" i="8" s="1"/>
  <c r="AC34" i="8"/>
  <c r="AC80" i="8" s="1"/>
  <c r="AD34" i="8"/>
  <c r="AD80" i="8" s="1"/>
  <c r="AE34" i="8"/>
  <c r="AE80" i="8" s="1"/>
  <c r="AF34" i="8"/>
  <c r="AF80" i="8" s="1"/>
  <c r="AG34" i="8"/>
  <c r="AG80" i="8" s="1"/>
  <c r="AH34" i="8"/>
  <c r="AH80" i="8" s="1"/>
  <c r="AI34" i="8"/>
  <c r="AI80" i="8" s="1"/>
  <c r="AJ34" i="8"/>
  <c r="AJ80" i="8" s="1"/>
  <c r="AK34" i="8"/>
  <c r="AK80" i="8" s="1"/>
  <c r="Z35" i="8"/>
  <c r="Z81" i="8" s="1"/>
  <c r="AA35" i="8"/>
  <c r="AA81" i="8" s="1"/>
  <c r="AB35" i="8"/>
  <c r="AB81" i="8" s="1"/>
  <c r="AC35" i="8"/>
  <c r="AC81" i="8" s="1"/>
  <c r="AD35" i="8"/>
  <c r="AD81" i="8" s="1"/>
  <c r="AE35" i="8"/>
  <c r="AE81" i="8" s="1"/>
  <c r="AF35" i="8"/>
  <c r="AF81" i="8" s="1"/>
  <c r="AG35" i="8"/>
  <c r="AG81" i="8" s="1"/>
  <c r="AH35" i="8"/>
  <c r="AH81" i="8" s="1"/>
  <c r="AI35" i="8"/>
  <c r="AI81" i="8" s="1"/>
  <c r="AJ35" i="8"/>
  <c r="AJ81" i="8" s="1"/>
  <c r="AK35" i="8"/>
  <c r="AK81" i="8" s="1"/>
  <c r="Z36" i="8"/>
  <c r="Z82" i="8" s="1"/>
  <c r="AA36" i="8"/>
  <c r="AA82" i="8" s="1"/>
  <c r="AB36" i="8"/>
  <c r="AB82" i="8" s="1"/>
  <c r="AC36" i="8"/>
  <c r="AC82" i="8" s="1"/>
  <c r="AD36" i="8"/>
  <c r="AD82" i="8" s="1"/>
  <c r="AE36" i="8"/>
  <c r="AE82" i="8" s="1"/>
  <c r="AF36" i="8"/>
  <c r="AF82" i="8" s="1"/>
  <c r="AG36" i="8"/>
  <c r="AG82" i="8" s="1"/>
  <c r="AH36" i="8"/>
  <c r="AH82" i="8" s="1"/>
  <c r="AI36" i="8"/>
  <c r="AI82" i="8" s="1"/>
  <c r="AJ36" i="8"/>
  <c r="AJ82" i="8" s="1"/>
  <c r="AK36" i="8"/>
  <c r="AK82" i="8" s="1"/>
  <c r="Z37" i="8"/>
  <c r="Z83" i="8" s="1"/>
  <c r="AA37" i="8"/>
  <c r="AA83" i="8" s="1"/>
  <c r="AB37" i="8"/>
  <c r="AB83" i="8" s="1"/>
  <c r="AC37" i="8"/>
  <c r="AC83" i="8" s="1"/>
  <c r="AD37" i="8"/>
  <c r="AD83" i="8" s="1"/>
  <c r="AE37" i="8"/>
  <c r="AE83" i="8" s="1"/>
  <c r="AF37" i="8"/>
  <c r="AF83" i="8" s="1"/>
  <c r="AG37" i="8"/>
  <c r="AG83" i="8" s="1"/>
  <c r="AH37" i="8"/>
  <c r="AH83" i="8" s="1"/>
  <c r="AI37" i="8"/>
  <c r="AI83" i="8" s="1"/>
  <c r="AJ37" i="8"/>
  <c r="AJ83" i="8" s="1"/>
  <c r="AK37" i="8"/>
  <c r="AK83" i="8" s="1"/>
  <c r="Z38" i="8"/>
  <c r="Z84" i="8" s="1"/>
  <c r="AA38" i="8"/>
  <c r="AA84" i="8" s="1"/>
  <c r="AB38" i="8"/>
  <c r="AB84" i="8" s="1"/>
  <c r="AC38" i="8"/>
  <c r="AC84" i="8" s="1"/>
  <c r="AD38" i="8"/>
  <c r="AD84" i="8" s="1"/>
  <c r="AE38" i="8"/>
  <c r="AE84" i="8" s="1"/>
  <c r="AF38" i="8"/>
  <c r="AF84" i="8" s="1"/>
  <c r="AG38" i="8"/>
  <c r="AG84" i="8" s="1"/>
  <c r="AH38" i="8"/>
  <c r="AH84" i="8" s="1"/>
  <c r="AI38" i="8"/>
  <c r="AI84" i="8" s="1"/>
  <c r="AJ38" i="8"/>
  <c r="AJ84" i="8" s="1"/>
  <c r="AK38" i="8"/>
  <c r="AK84" i="8" s="1"/>
  <c r="Z39" i="8"/>
  <c r="Z85" i="8" s="1"/>
  <c r="AA39" i="8"/>
  <c r="AA85" i="8" s="1"/>
  <c r="AB39" i="8"/>
  <c r="AB85" i="8" s="1"/>
  <c r="AC39" i="8"/>
  <c r="AC85" i="8" s="1"/>
  <c r="AD39" i="8"/>
  <c r="AD85" i="8" s="1"/>
  <c r="AE39" i="8"/>
  <c r="AE85" i="8" s="1"/>
  <c r="AF39" i="8"/>
  <c r="AF85" i="8" s="1"/>
  <c r="AG39" i="8"/>
  <c r="AG85" i="8" s="1"/>
  <c r="AH39" i="8"/>
  <c r="AH85" i="8" s="1"/>
  <c r="AI39" i="8"/>
  <c r="AI85" i="8" s="1"/>
  <c r="AJ39" i="8"/>
  <c r="AJ85" i="8" s="1"/>
  <c r="AK39" i="8"/>
  <c r="AK85" i="8" s="1"/>
  <c r="Z40" i="8"/>
  <c r="Z86" i="8" s="1"/>
  <c r="AA40" i="8"/>
  <c r="AA86" i="8" s="1"/>
  <c r="AB40" i="8"/>
  <c r="AB86" i="8" s="1"/>
  <c r="AC40" i="8"/>
  <c r="AC86" i="8" s="1"/>
  <c r="AD40" i="8"/>
  <c r="AD86" i="8" s="1"/>
  <c r="AE40" i="8"/>
  <c r="AE86" i="8" s="1"/>
  <c r="AF40" i="8"/>
  <c r="AF86" i="8" s="1"/>
  <c r="AG40" i="8"/>
  <c r="AG86" i="8" s="1"/>
  <c r="AH40" i="8"/>
  <c r="AH86" i="8" s="1"/>
  <c r="AI40" i="8"/>
  <c r="AI86" i="8" s="1"/>
  <c r="AJ40" i="8"/>
  <c r="AJ86" i="8" s="1"/>
  <c r="AK40" i="8"/>
  <c r="AK86" i="8" s="1"/>
  <c r="Z41" i="8"/>
  <c r="Z87" i="8" s="1"/>
  <c r="AA41" i="8"/>
  <c r="AA87" i="8" s="1"/>
  <c r="AB41" i="8"/>
  <c r="AB87" i="8" s="1"/>
  <c r="AC41" i="8"/>
  <c r="AC87" i="8" s="1"/>
  <c r="AD41" i="8"/>
  <c r="AD87" i="8" s="1"/>
  <c r="AE41" i="8"/>
  <c r="AE87" i="8" s="1"/>
  <c r="AF41" i="8"/>
  <c r="AF87" i="8" s="1"/>
  <c r="AG41" i="8"/>
  <c r="AG87" i="8" s="1"/>
  <c r="AH41" i="8"/>
  <c r="AH87" i="8" s="1"/>
  <c r="AI41" i="8"/>
  <c r="AI87" i="8" s="1"/>
  <c r="AJ41" i="8"/>
  <c r="AJ87" i="8" s="1"/>
  <c r="AK41" i="8"/>
  <c r="AK87" i="8" s="1"/>
  <c r="Z42" i="8"/>
  <c r="Z88" i="8" s="1"/>
  <c r="AA42" i="8"/>
  <c r="AA88" i="8" s="1"/>
  <c r="AB42" i="8"/>
  <c r="AB88" i="8" s="1"/>
  <c r="AC42" i="8"/>
  <c r="AC88" i="8" s="1"/>
  <c r="AD42" i="8"/>
  <c r="AD88" i="8" s="1"/>
  <c r="AE42" i="8"/>
  <c r="AE88" i="8" s="1"/>
  <c r="AF42" i="8"/>
  <c r="AF88" i="8" s="1"/>
  <c r="AG42" i="8"/>
  <c r="AG88" i="8" s="1"/>
  <c r="AH42" i="8"/>
  <c r="AH88" i="8" s="1"/>
  <c r="AI42" i="8"/>
  <c r="AI88" i="8" s="1"/>
  <c r="AJ42" i="8"/>
  <c r="AJ88" i="8" s="1"/>
  <c r="AK42" i="8"/>
  <c r="AK88" i="8" s="1"/>
  <c r="Z43" i="8"/>
  <c r="Z89" i="8" s="1"/>
  <c r="AA43" i="8"/>
  <c r="AA89" i="8" s="1"/>
  <c r="AB43" i="8"/>
  <c r="AB89" i="8" s="1"/>
  <c r="AC43" i="8"/>
  <c r="AC89" i="8" s="1"/>
  <c r="AD43" i="8"/>
  <c r="AD89" i="8" s="1"/>
  <c r="AE43" i="8"/>
  <c r="AE89" i="8" s="1"/>
  <c r="AF43" i="8"/>
  <c r="AF89" i="8" s="1"/>
  <c r="AG43" i="8"/>
  <c r="AG89" i="8" s="1"/>
  <c r="AH43" i="8"/>
  <c r="AH89" i="8" s="1"/>
  <c r="AI43" i="8"/>
  <c r="AI89" i="8" s="1"/>
  <c r="AJ43" i="8"/>
  <c r="AJ89" i="8" s="1"/>
  <c r="AK43" i="8"/>
  <c r="AK89" i="8" s="1"/>
  <c r="Z44" i="8"/>
  <c r="Z90" i="8" s="1"/>
  <c r="AA44" i="8"/>
  <c r="AA90" i="8" s="1"/>
  <c r="AB44" i="8"/>
  <c r="AB90" i="8" s="1"/>
  <c r="AC44" i="8"/>
  <c r="AC90" i="8" s="1"/>
  <c r="AD44" i="8"/>
  <c r="AD90" i="8" s="1"/>
  <c r="AE44" i="8"/>
  <c r="AE90" i="8" s="1"/>
  <c r="AF44" i="8"/>
  <c r="AF90" i="8" s="1"/>
  <c r="AG44" i="8"/>
  <c r="AG90" i="8" s="1"/>
  <c r="AH44" i="8"/>
  <c r="AH90" i="8" s="1"/>
  <c r="AI44" i="8"/>
  <c r="AI90" i="8" s="1"/>
  <c r="AJ44" i="8"/>
  <c r="AJ90" i="8" s="1"/>
  <c r="AK44" i="8"/>
  <c r="AK90" i="8" s="1"/>
  <c r="Z45" i="8"/>
  <c r="Z91" i="8" s="1"/>
  <c r="AA45" i="8"/>
  <c r="AA91" i="8" s="1"/>
  <c r="AB45" i="8"/>
  <c r="AB91" i="8" s="1"/>
  <c r="AC45" i="8"/>
  <c r="AC91" i="8" s="1"/>
  <c r="AD45" i="8"/>
  <c r="AD91" i="8" s="1"/>
  <c r="AE45" i="8"/>
  <c r="AE91" i="8" s="1"/>
  <c r="AF45" i="8"/>
  <c r="AF91" i="8" s="1"/>
  <c r="AG45" i="8"/>
  <c r="AG91" i="8" s="1"/>
  <c r="AH45" i="8"/>
  <c r="AH91" i="8" s="1"/>
  <c r="AI45" i="8"/>
  <c r="AI91" i="8" s="1"/>
  <c r="AJ45" i="8"/>
  <c r="AJ91" i="8" s="1"/>
  <c r="AK45" i="8"/>
  <c r="AK91" i="8" s="1"/>
  <c r="Z46" i="8"/>
  <c r="Z92" i="8" s="1"/>
  <c r="AA46" i="8"/>
  <c r="AA92" i="8" s="1"/>
  <c r="AB46" i="8"/>
  <c r="AB92" i="8" s="1"/>
  <c r="AC46" i="8"/>
  <c r="AC92" i="8" s="1"/>
  <c r="AD46" i="8"/>
  <c r="AD92" i="8" s="1"/>
  <c r="AE46" i="8"/>
  <c r="AE92" i="8" s="1"/>
  <c r="AF46" i="8"/>
  <c r="AF92" i="8" s="1"/>
  <c r="AG46" i="8"/>
  <c r="AG92" i="8" s="1"/>
  <c r="AH46" i="8"/>
  <c r="AH92" i="8" s="1"/>
  <c r="AI46" i="8"/>
  <c r="AI92" i="8" s="1"/>
  <c r="AJ46" i="8"/>
  <c r="AJ92" i="8" s="1"/>
  <c r="AK46" i="8"/>
  <c r="AK92" i="8" s="1"/>
  <c r="AD4" i="8"/>
  <c r="AE4" i="8"/>
  <c r="AF4" i="8"/>
  <c r="AG4" i="8"/>
  <c r="AH4" i="8"/>
  <c r="AI4" i="8"/>
  <c r="AJ4" i="8"/>
  <c r="AK4" i="8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AN4" i="6"/>
  <c r="AN5" i="6"/>
  <c r="AN6" i="6"/>
  <c r="AN7" i="6"/>
  <c r="AN8" i="6"/>
  <c r="AN9" i="6"/>
  <c r="AN10" i="6"/>
  <c r="AN11" i="6"/>
  <c r="AN12" i="6"/>
  <c r="AN13" i="6"/>
  <c r="AN14" i="6"/>
  <c r="AN15" i="6"/>
  <c r="AN3" i="6"/>
  <c r="AI46" i="2"/>
  <c r="AG46" i="2"/>
  <c r="AE46" i="2"/>
  <c r="AC46" i="2"/>
  <c r="AA46" i="2"/>
  <c r="Y46" i="2"/>
  <c r="W46" i="2"/>
  <c r="U46" i="2"/>
  <c r="S46" i="2"/>
  <c r="Q46" i="2"/>
  <c r="O46" i="2"/>
  <c r="M46" i="2"/>
  <c r="K46" i="2"/>
  <c r="I46" i="2"/>
  <c r="G46" i="2"/>
  <c r="E46" i="2"/>
  <c r="AP46" i="8" l="1"/>
  <c r="AI50" i="8"/>
  <c r="U50" i="8"/>
  <c r="AF50" i="8"/>
  <c r="AG50" i="8"/>
  <c r="Y50" i="8"/>
  <c r="AE50" i="8"/>
  <c r="AD50" i="8"/>
  <c r="S50" i="8"/>
  <c r="AA50" i="8"/>
  <c r="W50" i="8"/>
  <c r="O50" i="8"/>
  <c r="Z50" i="8"/>
  <c r="X50" i="8"/>
  <c r="AC50" i="8"/>
  <c r="Q50" i="8"/>
  <c r="AB50" i="8"/>
  <c r="M50" i="8"/>
  <c r="K50" i="8"/>
  <c r="AO50" i="8"/>
  <c r="AJ50" i="8"/>
  <c r="R50" i="8"/>
  <c r="G50" i="8"/>
  <c r="AM50" i="8"/>
  <c r="AL50" i="8"/>
  <c r="AK50" i="8"/>
  <c r="T50" i="8"/>
  <c r="AH50" i="8"/>
  <c r="V50" i="8"/>
  <c r="I50" i="8"/>
  <c r="J50" i="8"/>
  <c r="AN50" i="8"/>
  <c r="H50" i="8"/>
  <c r="F50" i="8"/>
  <c r="L50" i="8"/>
  <c r="P50" i="8"/>
  <c r="N50" i="8"/>
  <c r="G46" i="1"/>
  <c r="AK47" i="2"/>
</calcChain>
</file>

<file path=xl/sharedStrings.xml><?xml version="1.0" encoding="utf-8"?>
<sst xmlns="http://schemas.openxmlformats.org/spreadsheetml/2006/main" count="4605" uniqueCount="532">
  <si>
    <t>id</t>
  </si>
  <si>
    <t>Nom</t>
  </si>
  <si>
    <t>Ville</t>
  </si>
  <si>
    <t>RNE</t>
  </si>
  <si>
    <t>Codification</t>
  </si>
  <si>
    <t>Candidats</t>
  </si>
  <si>
    <t>Paris</t>
  </si>
  <si>
    <t>INST</t>
  </si>
  <si>
    <t>IMCP Paris</t>
  </si>
  <si>
    <t>IMCP</t>
  </si>
  <si>
    <t>ITIC</t>
  </si>
  <si>
    <t>0754440U</t>
  </si>
  <si>
    <t>CFA CERFAL</t>
  </si>
  <si>
    <t>0754458N</t>
  </si>
  <si>
    <t>CERF</t>
  </si>
  <si>
    <t>0754679D</t>
  </si>
  <si>
    <t>CFA IMC</t>
  </si>
  <si>
    <t>0755197S</t>
  </si>
  <si>
    <t>IMC</t>
  </si>
  <si>
    <t>Lycee Jacques Prevert</t>
  </si>
  <si>
    <t>Combs la Ville</t>
  </si>
  <si>
    <t>0771997C</t>
  </si>
  <si>
    <t>COMBS</t>
  </si>
  <si>
    <t>Saint Germain (78)</t>
  </si>
  <si>
    <t>CGS</t>
  </si>
  <si>
    <t>ITIS</t>
  </si>
  <si>
    <t>Evry</t>
  </si>
  <si>
    <t>0911864G</t>
  </si>
  <si>
    <t>CFA Faculté des métiers</t>
  </si>
  <si>
    <t>Massy</t>
  </si>
  <si>
    <t>FDM</t>
  </si>
  <si>
    <t>AFORP</t>
  </si>
  <si>
    <t>Issy Les Moulineaux</t>
  </si>
  <si>
    <t>0921274K</t>
  </si>
  <si>
    <t>AFOR</t>
  </si>
  <si>
    <t>EPSI</t>
  </si>
  <si>
    <t>Levallois</t>
  </si>
  <si>
    <t>0922467G</t>
  </si>
  <si>
    <t>HITEMA</t>
  </si>
  <si>
    <t>0922614S</t>
  </si>
  <si>
    <t>HITE</t>
  </si>
  <si>
    <t>IEFII</t>
  </si>
  <si>
    <t>IFCP</t>
  </si>
  <si>
    <t>jurys</t>
  </si>
  <si>
    <t>03/06</t>
  </si>
  <si>
    <t>04/06</t>
  </si>
  <si>
    <t>05/06</t>
  </si>
  <si>
    <t>06/06</t>
  </si>
  <si>
    <t>10/06</t>
  </si>
  <si>
    <t>11/06</t>
  </si>
  <si>
    <t>12/06</t>
  </si>
  <si>
    <t>13/06</t>
  </si>
  <si>
    <t>17/06</t>
  </si>
  <si>
    <t>18/06</t>
  </si>
  <si>
    <t>19/06</t>
  </si>
  <si>
    <t>20/06</t>
  </si>
  <si>
    <t>nb</t>
  </si>
  <si>
    <t>j</t>
  </si>
  <si>
    <t>centre</t>
  </si>
  <si>
    <t>jour</t>
  </si>
  <si>
    <t>nbjurys</t>
  </si>
  <si>
    <t>nbcandidats</t>
  </si>
  <si>
    <t>0772223Y</t>
  </si>
  <si>
    <t>CHAM</t>
  </si>
  <si>
    <t>0940118T</t>
  </si>
  <si>
    <t>LAN</t>
  </si>
  <si>
    <t>Centre</t>
  </si>
  <si>
    <t>Jury</t>
  </si>
  <si>
    <t>BONNET</t>
  </si>
  <si>
    <t>Jean-François</t>
  </si>
  <si>
    <t>Le Rebours</t>
  </si>
  <si>
    <t>0754042L</t>
  </si>
  <si>
    <t>HOURDEAUX</t>
  </si>
  <si>
    <t>Laurence</t>
  </si>
  <si>
    <t>Lycee Leonard de Vinci</t>
  </si>
  <si>
    <t>0770934X</t>
  </si>
  <si>
    <t>DEHORS</t>
  </si>
  <si>
    <t>ALAIN</t>
  </si>
  <si>
    <t>DUPUIS</t>
  </si>
  <si>
    <t>DANIELLE</t>
  </si>
  <si>
    <t>lycee Rene Descartes</t>
  </si>
  <si>
    <t>GOURDON</t>
  </si>
  <si>
    <t>Marie-Rose</t>
  </si>
  <si>
    <t>Lycee Jean Vilar</t>
  </si>
  <si>
    <t>0780582J</t>
  </si>
  <si>
    <t>FRODEAU</t>
  </si>
  <si>
    <t>CHRISTINE</t>
  </si>
  <si>
    <t>Lycee Jules Ferry</t>
  </si>
  <si>
    <t>0781845G</t>
  </si>
  <si>
    <t>MARQUETTE</t>
  </si>
  <si>
    <t>Philippe</t>
  </si>
  <si>
    <t>Lycee Parc de Vilgenis</t>
  </si>
  <si>
    <t>0910727W</t>
  </si>
  <si>
    <t>THERY</t>
  </si>
  <si>
    <t>Sylvaine</t>
  </si>
  <si>
    <t>COUTURIER</t>
  </si>
  <si>
    <t>PHILIPPE</t>
  </si>
  <si>
    <t>SANE</t>
  </si>
  <si>
    <t>Souleymane</t>
  </si>
  <si>
    <t>Lycee Paul Lapie</t>
  </si>
  <si>
    <t>0920138A</t>
  </si>
  <si>
    <t>DUSANTER</t>
  </si>
  <si>
    <t>ESTELLE</t>
  </si>
  <si>
    <t>ROELS</t>
  </si>
  <si>
    <t>Carina</t>
  </si>
  <si>
    <t>ITIN Cergy</t>
  </si>
  <si>
    <t>095000SH</t>
  </si>
  <si>
    <t>REBOUL</t>
  </si>
  <si>
    <t>Christophe</t>
  </si>
  <si>
    <t>Lycée René Auffray</t>
  </si>
  <si>
    <t>0922149L</t>
  </si>
  <si>
    <t>Lycee Louis Armand Nogent</t>
  </si>
  <si>
    <t>SISR</t>
  </si>
  <si>
    <t>SLAM</t>
  </si>
  <si>
    <t>J1</t>
  </si>
  <si>
    <t>J2</t>
  </si>
  <si>
    <t>J3</t>
  </si>
  <si>
    <t>id_prof</t>
  </si>
  <si>
    <t>code_centre</t>
  </si>
  <si>
    <t>date_jury</t>
  </si>
  <si>
    <t>num_jury</t>
  </si>
  <si>
    <t>26/05</t>
  </si>
  <si>
    <t>27/05</t>
  </si>
  <si>
    <t>28/05</t>
  </si>
  <si>
    <t>02/06</t>
  </si>
  <si>
    <t>16/06</t>
  </si>
  <si>
    <t>Champs sur Marne</t>
  </si>
  <si>
    <t>Montigny le Bretonneux</t>
  </si>
  <si>
    <t>IRIS</t>
  </si>
  <si>
    <t>0755748R</t>
  </si>
  <si>
    <t>x</t>
  </si>
  <si>
    <t>Attention : Théry Sylvaine a disparue des listings je pense que c'est Ben Moussa qui la remplace</t>
  </si>
  <si>
    <t>15/06</t>
  </si>
  <si>
    <t>22/06</t>
  </si>
  <si>
    <t>profs.Nom</t>
  </si>
  <si>
    <t>Prenom</t>
  </si>
  <si>
    <t>etablissements.Nom</t>
  </si>
  <si>
    <t>14/06</t>
  </si>
  <si>
    <t>21/06</t>
  </si>
  <si>
    <t>Ecole SORNAS</t>
  </si>
  <si>
    <t>0754101A</t>
  </si>
  <si>
    <t>SORN</t>
  </si>
  <si>
    <t>GEFOR</t>
  </si>
  <si>
    <t>GEFO</t>
  </si>
  <si>
    <t>CFA SACEF</t>
  </si>
  <si>
    <t>SACE</t>
  </si>
  <si>
    <t>Lycée Paul Bert</t>
  </si>
  <si>
    <t>Maison Alfort</t>
  </si>
  <si>
    <t>LPB</t>
  </si>
  <si>
    <t>Villejuif</t>
  </si>
  <si>
    <t>Lycee Voillaume</t>
  </si>
  <si>
    <t>0930834B</t>
  </si>
  <si>
    <t>Omar</t>
  </si>
  <si>
    <t>Lycee Louise Michel</t>
  </si>
  <si>
    <t>0931613Y</t>
  </si>
  <si>
    <t>Lycee Prive Montalembert</t>
  </si>
  <si>
    <t>0921484N</t>
  </si>
  <si>
    <t>Lycee JJ Rousseau</t>
  </si>
  <si>
    <t>0950648N</t>
  </si>
  <si>
    <t>Lycee Parc des Loges</t>
  </si>
  <si>
    <t>0911251R</t>
  </si>
  <si>
    <t>Lycee Technologique ORT</t>
  </si>
  <si>
    <t>0931796X</t>
  </si>
  <si>
    <t>Ecole Nationale de Commerce</t>
  </si>
  <si>
    <t>0750707L</t>
  </si>
  <si>
    <t>Eric</t>
  </si>
  <si>
    <t>Lycee Turgot</t>
  </si>
  <si>
    <t>0750647W</t>
  </si>
  <si>
    <t>Lycee Robert Schuman</t>
  </si>
  <si>
    <t>Lycee Geoffroy Saint Hilaire</t>
  </si>
  <si>
    <t>0910622G</t>
  </si>
  <si>
    <t>Lycee de l'Hautil</t>
  </si>
  <si>
    <t>0951824S</t>
  </si>
  <si>
    <t>Lycee Prive Charles de Foucauld</t>
  </si>
  <si>
    <t>0754086J</t>
  </si>
  <si>
    <t>Lycee Saint-Aspais</t>
  </si>
  <si>
    <t>0771238C</t>
  </si>
  <si>
    <t>Lycee Saint Gabriel</t>
  </si>
  <si>
    <t>0920894X</t>
  </si>
  <si>
    <t>Lycee Maximilien Sorre</t>
  </si>
  <si>
    <t>0940580V</t>
  </si>
  <si>
    <t>Lycee Louis Armand</t>
  </si>
  <si>
    <t>0751708Z</t>
  </si>
  <si>
    <t>Jean</t>
  </si>
  <si>
    <t>Lycee Prive St Michel St Mande</t>
  </si>
  <si>
    <t>0940882Y</t>
  </si>
  <si>
    <t>31/05</t>
  </si>
  <si>
    <t>01/06</t>
  </si>
  <si>
    <t>07/06</t>
  </si>
  <si>
    <t>08/06</t>
  </si>
  <si>
    <t>IPSSI</t>
  </si>
  <si>
    <t>0755724P</t>
  </si>
  <si>
    <t>IPSS</t>
  </si>
  <si>
    <t>SCHOLA NOVA</t>
  </si>
  <si>
    <t>SCHN</t>
  </si>
  <si>
    <t>CEVE</t>
  </si>
  <si>
    <t>EFREI</t>
  </si>
  <si>
    <t>0941934S</t>
  </si>
  <si>
    <t>EFRE</t>
  </si>
  <si>
    <t>Vincennes</t>
  </si>
  <si>
    <t>0753372H</t>
  </si>
  <si>
    <t>Lycee BETH SEFER</t>
  </si>
  <si>
    <t>SEFE</t>
  </si>
  <si>
    <t>0755432X</t>
  </si>
  <si>
    <t>CFA INSTA</t>
  </si>
  <si>
    <t>CINST</t>
  </si>
  <si>
    <t>0755934T</t>
  </si>
  <si>
    <t>INGETIS Paris</t>
  </si>
  <si>
    <t>INGT</t>
  </si>
  <si>
    <t>Auguste Blanqui</t>
  </si>
  <si>
    <t>0930126G</t>
  </si>
  <si>
    <t>Tristan</t>
  </si>
  <si>
    <t>Cours Privé Diderot Paris 11</t>
  </si>
  <si>
    <t>0755559K</t>
  </si>
  <si>
    <t>DID</t>
  </si>
  <si>
    <t>0781858W</t>
  </si>
  <si>
    <t>CFA EVE</t>
  </si>
  <si>
    <t>0912119J</t>
  </si>
  <si>
    <t>09/06</t>
  </si>
  <si>
    <t>0755775V</t>
  </si>
  <si>
    <t>APEP SUP</t>
  </si>
  <si>
    <t>APEP</t>
  </si>
  <si>
    <t>H3C Campus Poissy</t>
  </si>
  <si>
    <t>H3C</t>
  </si>
  <si>
    <t>Lycée Fénelon Sup La Pleine Monceau</t>
  </si>
  <si>
    <t>0754037F</t>
  </si>
  <si>
    <t>LFS</t>
  </si>
  <si>
    <t>0755119G</t>
  </si>
  <si>
    <t>0756002S</t>
  </si>
  <si>
    <t>0756241B</t>
  </si>
  <si>
    <t>ENSUP CGSAT</t>
  </si>
  <si>
    <t>0783545E</t>
  </si>
  <si>
    <t>Ecole Santé et Juridique</t>
  </si>
  <si>
    <t>0922856E</t>
  </si>
  <si>
    <t>ESJ</t>
  </si>
  <si>
    <t>IMIE Paris</t>
  </si>
  <si>
    <t>0922863M</t>
  </si>
  <si>
    <t>IMIP</t>
  </si>
  <si>
    <t>0941355M</t>
  </si>
  <si>
    <t>0942169X</t>
  </si>
  <si>
    <t>0952242W</t>
  </si>
  <si>
    <t>30/05</t>
  </si>
  <si>
    <t>0755931P</t>
  </si>
  <si>
    <t>Mehdi</t>
  </si>
  <si>
    <t>0932618R</t>
  </si>
  <si>
    <t>BRUANT</t>
  </si>
  <si>
    <t>Mathilde</t>
  </si>
  <si>
    <t>UTEC</t>
  </si>
  <si>
    <t>0772320D</t>
  </si>
  <si>
    <t>Virginie</t>
  </si>
  <si>
    <t>CCF</t>
  </si>
  <si>
    <t>CCF 2016</t>
  </si>
  <si>
    <t>ISCIO Orsay</t>
  </si>
  <si>
    <t>0919303T</t>
  </si>
  <si>
    <t>ISCIO</t>
  </si>
  <si>
    <t>0755294X</t>
  </si>
  <si>
    <t>INSTA</t>
  </si>
  <si>
    <t>0755577E</t>
  </si>
  <si>
    <t>ISMI</t>
  </si>
  <si>
    <t>0755827B</t>
  </si>
  <si>
    <t>ADG</t>
  </si>
  <si>
    <t>INSTA Paris</t>
  </si>
  <si>
    <t>0756351W</t>
  </si>
  <si>
    <t>CFA ISW EDUCATION</t>
  </si>
  <si>
    <t>ISW</t>
  </si>
  <si>
    <t>Etampes</t>
  </si>
  <si>
    <t>0912263R</t>
  </si>
  <si>
    <t>0932760V</t>
  </si>
  <si>
    <t>CFA AFORP FORMATION</t>
  </si>
  <si>
    <t>AFF</t>
  </si>
  <si>
    <t>St Ouen L'aumone</t>
  </si>
  <si>
    <t>0756015F</t>
  </si>
  <si>
    <t>EUROFORMA</t>
  </si>
  <si>
    <t>EURO</t>
  </si>
  <si>
    <t>077203SB</t>
  </si>
  <si>
    <t>Educatel 77</t>
  </si>
  <si>
    <t>ED77</t>
  </si>
  <si>
    <t>0772893B</t>
  </si>
  <si>
    <t>EMSCA</t>
  </si>
  <si>
    <t>Bussy St Georges</t>
  </si>
  <si>
    <t>EMSC</t>
  </si>
  <si>
    <t>0922873Y</t>
  </si>
  <si>
    <t>Elyon Company</t>
  </si>
  <si>
    <t>ELYC</t>
  </si>
  <si>
    <t>Abdallah</t>
  </si>
  <si>
    <t>Thaïs</t>
  </si>
  <si>
    <t>Ali</t>
  </si>
  <si>
    <t>Diego</t>
  </si>
  <si>
    <t>Bernardin</t>
  </si>
  <si>
    <t>Peggy</t>
  </si>
  <si>
    <t>Bonin</t>
  </si>
  <si>
    <t>Camille</t>
  </si>
  <si>
    <t>Boulot</t>
  </si>
  <si>
    <t>Amine</t>
  </si>
  <si>
    <t>Brasseur</t>
  </si>
  <si>
    <t>Léane</t>
  </si>
  <si>
    <t>Brochier</t>
  </si>
  <si>
    <t>Marie-Noëlle</t>
  </si>
  <si>
    <t>Brousse</t>
  </si>
  <si>
    <t>Noa</t>
  </si>
  <si>
    <t>Brunel</t>
  </si>
  <si>
    <t>Mattéo</t>
  </si>
  <si>
    <t>Caillet</t>
  </si>
  <si>
    <t>Soan</t>
  </si>
  <si>
    <t>Cam</t>
  </si>
  <si>
    <t>Inès</t>
  </si>
  <si>
    <t>Carlotti</t>
  </si>
  <si>
    <t>Nancy</t>
  </si>
  <si>
    <t>Caumartin</t>
  </si>
  <si>
    <t>Sofiane</t>
  </si>
  <si>
    <t>Cazal</t>
  </si>
  <si>
    <t>Manuela</t>
  </si>
  <si>
    <t>Champagne</t>
  </si>
  <si>
    <t>Baptiste</t>
  </si>
  <si>
    <t>Champetier</t>
  </si>
  <si>
    <t>Solange</t>
  </si>
  <si>
    <t>Chevrot</t>
  </si>
  <si>
    <t>Anne</t>
  </si>
  <si>
    <t>Chopin</t>
  </si>
  <si>
    <t>Ibrahim</t>
  </si>
  <si>
    <t>Collado</t>
  </si>
  <si>
    <t>Colson</t>
  </si>
  <si>
    <t>Maxime</t>
  </si>
  <si>
    <t>Cornuault</t>
  </si>
  <si>
    <t>Amélie</t>
  </si>
  <si>
    <t>Cronier</t>
  </si>
  <si>
    <t>Eugénie</t>
  </si>
  <si>
    <t>Danel</t>
  </si>
  <si>
    <t>Noemie</t>
  </si>
  <si>
    <t>Deletre</t>
  </si>
  <si>
    <t>Maria</t>
  </si>
  <si>
    <t>Diez</t>
  </si>
  <si>
    <t>Ludovic</t>
  </si>
  <si>
    <t>Dorval</t>
  </si>
  <si>
    <t>Aicha</t>
  </si>
  <si>
    <t>Ferdinand</t>
  </si>
  <si>
    <t>Adeline</t>
  </si>
  <si>
    <t>Ferry</t>
  </si>
  <si>
    <t>Clément</t>
  </si>
  <si>
    <t>Figueiredo</t>
  </si>
  <si>
    <t>Mounia</t>
  </si>
  <si>
    <t>Fraisse</t>
  </si>
  <si>
    <t>Charlotte</t>
  </si>
  <si>
    <t>Francois</t>
  </si>
  <si>
    <t>Maëlle</t>
  </si>
  <si>
    <t>Galais</t>
  </si>
  <si>
    <t>Jean-Baptiste</t>
  </si>
  <si>
    <t>Gauthier</t>
  </si>
  <si>
    <t>Assia</t>
  </si>
  <si>
    <t>Genay</t>
  </si>
  <si>
    <t>Marie-Cécile</t>
  </si>
  <si>
    <t>Girault</t>
  </si>
  <si>
    <t>Justine</t>
  </si>
  <si>
    <t>Godin</t>
  </si>
  <si>
    <t>Kenza</t>
  </si>
  <si>
    <t>Hamouda</t>
  </si>
  <si>
    <t>Salima</t>
  </si>
  <si>
    <t>Hurtaud</t>
  </si>
  <si>
    <t>Jerome</t>
  </si>
  <si>
    <t>Lafitte</t>
  </si>
  <si>
    <t>Laville</t>
  </si>
  <si>
    <t>Lebas</t>
  </si>
  <si>
    <t>Sofia</t>
  </si>
  <si>
    <t>Lebouvier</t>
  </si>
  <si>
    <t>Siham</t>
  </si>
  <si>
    <t>Lenormand</t>
  </si>
  <si>
    <t>Wassim</t>
  </si>
  <si>
    <t>Letellier</t>
  </si>
  <si>
    <t>Madec</t>
  </si>
  <si>
    <t>Evan</t>
  </si>
  <si>
    <t>Maillot</t>
  </si>
  <si>
    <t>Claudette</t>
  </si>
  <si>
    <t>Manas</t>
  </si>
  <si>
    <t>Marcus</t>
  </si>
  <si>
    <t>Edouard</t>
  </si>
  <si>
    <t>Maugendre</t>
  </si>
  <si>
    <t>Mignotte</t>
  </si>
  <si>
    <t>Missonnier</t>
  </si>
  <si>
    <t>Marie-Odile</t>
  </si>
  <si>
    <t>Morales</t>
  </si>
  <si>
    <t>Munoz</t>
  </si>
  <si>
    <t>Ludivine</t>
  </si>
  <si>
    <t>Mura</t>
  </si>
  <si>
    <t>Jade</t>
  </si>
  <si>
    <t>Ory</t>
  </si>
  <si>
    <t>Margot</t>
  </si>
  <si>
    <t>Porcher</t>
  </si>
  <si>
    <t>Mélina</t>
  </si>
  <si>
    <t>Raffard</t>
  </si>
  <si>
    <t>Isabel</t>
  </si>
  <si>
    <t>Ratajczak</t>
  </si>
  <si>
    <t>Rateau</t>
  </si>
  <si>
    <t>Naima</t>
  </si>
  <si>
    <t>Renault</t>
  </si>
  <si>
    <t>Manon</t>
  </si>
  <si>
    <t>Rohmer</t>
  </si>
  <si>
    <t>Prisca</t>
  </si>
  <si>
    <t>Rousseaux</t>
  </si>
  <si>
    <t>Sohan</t>
  </si>
  <si>
    <t>Savignac</t>
  </si>
  <si>
    <t>Anaïs</t>
  </si>
  <si>
    <t>Schneider</t>
  </si>
  <si>
    <t>Léo</t>
  </si>
  <si>
    <t>Thevenard</t>
  </si>
  <si>
    <t>Thore</t>
  </si>
  <si>
    <t>Laila</t>
  </si>
  <si>
    <t>Tournier</t>
  </si>
  <si>
    <t>Verove</t>
  </si>
  <si>
    <t>Marie-Ange</t>
  </si>
  <si>
    <t>Vicente</t>
  </si>
  <si>
    <t>Ilyes</t>
  </si>
  <si>
    <t>Allegre</t>
  </si>
  <si>
    <t>Alice</t>
  </si>
  <si>
    <t>Alvarez</t>
  </si>
  <si>
    <t>Jules</t>
  </si>
  <si>
    <t>Astier</t>
  </si>
  <si>
    <t>Salomé</t>
  </si>
  <si>
    <t>Auvray</t>
  </si>
  <si>
    <t>Victoire</t>
  </si>
  <si>
    <t>Barthez</t>
  </si>
  <si>
    <t>Yamina</t>
  </si>
  <si>
    <t>Beaufrere</t>
  </si>
  <si>
    <t>Bellec</t>
  </si>
  <si>
    <t>Naël</t>
  </si>
  <si>
    <t>Benmoussa</t>
  </si>
  <si>
    <t>Anne-Marie</t>
  </si>
  <si>
    <t>Bertoux</t>
  </si>
  <si>
    <t>Charlie</t>
  </si>
  <si>
    <t>Bohec</t>
  </si>
  <si>
    <t>Youssef</t>
  </si>
  <si>
    <t>Bon</t>
  </si>
  <si>
    <t>Pierre-Alexandre</t>
  </si>
  <si>
    <t>Bordron</t>
  </si>
  <si>
    <t>Brahim</t>
  </si>
  <si>
    <t>Boulin</t>
  </si>
  <si>
    <t>Claire</t>
  </si>
  <si>
    <t>Buatois</t>
  </si>
  <si>
    <t>Caparros</t>
  </si>
  <si>
    <t>Nabila</t>
  </si>
  <si>
    <t>Cheval</t>
  </si>
  <si>
    <t>Malo</t>
  </si>
  <si>
    <t>Courtois</t>
  </si>
  <si>
    <t>Laure</t>
  </si>
  <si>
    <t>Deloison</t>
  </si>
  <si>
    <t>Déborah</t>
  </si>
  <si>
    <t>Destouches</t>
  </si>
  <si>
    <t>Myriam</t>
  </si>
  <si>
    <t>Dorze</t>
  </si>
  <si>
    <t>Lindsay</t>
  </si>
  <si>
    <t>Dubosq</t>
  </si>
  <si>
    <t>Sandra</t>
  </si>
  <si>
    <t>Dujardin</t>
  </si>
  <si>
    <t>Flore</t>
  </si>
  <si>
    <t>ean-Joseph</t>
  </si>
  <si>
    <t>Charles</t>
  </si>
  <si>
    <t>Fayol</t>
  </si>
  <si>
    <t>Gwenaëlle</t>
  </si>
  <si>
    <t>Feron</t>
  </si>
  <si>
    <t>Faustine</t>
  </si>
  <si>
    <t>Fournier</t>
  </si>
  <si>
    <t>Léon</t>
  </si>
  <si>
    <t>Freire</t>
  </si>
  <si>
    <t>Laureen</t>
  </si>
  <si>
    <t>Fritsch</t>
  </si>
  <si>
    <t>Lyam</t>
  </si>
  <si>
    <t>Froment</t>
  </si>
  <si>
    <t>Quentin</t>
  </si>
  <si>
    <t>Gamard</t>
  </si>
  <si>
    <t>Garcia</t>
  </si>
  <si>
    <t>Gharbi</t>
  </si>
  <si>
    <t>Gontier</t>
  </si>
  <si>
    <t>Guillaume</t>
  </si>
  <si>
    <t>Isaac</t>
  </si>
  <si>
    <t>Guyard</t>
  </si>
  <si>
    <t>Oscar</t>
  </si>
  <si>
    <t>Hamon</t>
  </si>
  <si>
    <t>Roxane</t>
  </si>
  <si>
    <t>Kaminski</t>
  </si>
  <si>
    <t>Mélanie</t>
  </si>
  <si>
    <t>Lagarde</t>
  </si>
  <si>
    <t>Ethan</t>
  </si>
  <si>
    <t>Lange</t>
  </si>
  <si>
    <t>Lila</t>
  </si>
  <si>
    <t>Lanoe</t>
  </si>
  <si>
    <t>Benoît</t>
  </si>
  <si>
    <t>Lapeyre</t>
  </si>
  <si>
    <t>Sami</t>
  </si>
  <si>
    <t>Lemerle</t>
  </si>
  <si>
    <t>Suzanne</t>
  </si>
  <si>
    <t>Loiseau</t>
  </si>
  <si>
    <t>Lise</t>
  </si>
  <si>
    <t>Lorre</t>
  </si>
  <si>
    <t>Annette</t>
  </si>
  <si>
    <t>Masse</t>
  </si>
  <si>
    <t>Mattei</t>
  </si>
  <si>
    <t>Aymeric</t>
  </si>
  <si>
    <t>Mazet</t>
  </si>
  <si>
    <t>Noé</t>
  </si>
  <si>
    <t>Mestre</t>
  </si>
  <si>
    <t>Nolwenn</t>
  </si>
  <si>
    <t>Miguel</t>
  </si>
  <si>
    <t>Nicolas</t>
  </si>
  <si>
    <t>Nicolle</t>
  </si>
  <si>
    <t>Ayoub</t>
  </si>
  <si>
    <t>Pape</t>
  </si>
  <si>
    <t>Ghislain</t>
  </si>
  <si>
    <t>Peltier</t>
  </si>
  <si>
    <t>Christel</t>
  </si>
  <si>
    <t>Peron</t>
  </si>
  <si>
    <t>Raphael</t>
  </si>
  <si>
    <t>Perraud</t>
  </si>
  <si>
    <t>Prevost</t>
  </si>
  <si>
    <t>Louis</t>
  </si>
  <si>
    <t>Raffin</t>
  </si>
  <si>
    <t>Lily</t>
  </si>
  <si>
    <t>Renoir</t>
  </si>
  <si>
    <t>Pierre-Yves</t>
  </si>
  <si>
    <t>Renouard</t>
  </si>
  <si>
    <t>Moussa</t>
  </si>
  <si>
    <t>Rivoal</t>
  </si>
  <si>
    <t>Rodriguez</t>
  </si>
  <si>
    <t>Sylvain</t>
  </si>
  <si>
    <t>Sassi</t>
  </si>
  <si>
    <t>Kenzo</t>
  </si>
  <si>
    <t>Tutour</t>
  </si>
  <si>
    <t>Marie-Hélène</t>
  </si>
  <si>
    <t>Vigier</t>
  </si>
  <si>
    <t>Célia</t>
  </si>
  <si>
    <t>Welter</t>
  </si>
  <si>
    <t>Jessie</t>
  </si>
  <si>
    <t>Yilmaz</t>
  </si>
  <si>
    <t>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</si>
</sst>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theme="0" tint="-0.249977111117893"/>
        <bgColor rgb="FFC0C0C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7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2" fillId="2" borderId="2" xfId="0" applyFont="1" applyFill="1" applyBorder="1" applyAlignment="1">
      <alignment horizontal="right" vertical="center"/>
    </xf>
    <xf numFmtId="0" fontId="0" fillId="0" borderId="0" xfId="0" quotePrefix="1"/>
    <xf numFmtId="0" fontId="0" fillId="5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16" fontId="0" fillId="0" borderId="0" xfId="0" quotePrefix="1" applyNumberFormat="1"/>
    <xf numFmtId="0" fontId="0" fillId="0" borderId="4" xfId="0" applyBorder="1" applyAlignment="1">
      <alignment horizontal="center"/>
    </xf>
    <xf numFmtId="0" fontId="0" fillId="6" borderId="1" xfId="0" applyFill="1" applyBorder="1"/>
    <xf numFmtId="0" fontId="0" fillId="8" borderId="1" xfId="0" applyFill="1" applyBorder="1"/>
    <xf numFmtId="0" fontId="0" fillId="9" borderId="0" xfId="0" applyFill="1"/>
    <xf numFmtId="0" fontId="0" fillId="10" borderId="1" xfId="0" applyFill="1" applyBorder="1"/>
    <xf numFmtId="0" fontId="7" fillId="8" borderId="1" xfId="11" applyFont="1" applyFill="1" applyBorder="1"/>
    <xf numFmtId="0" fontId="0" fillId="10" borderId="0" xfId="0" applyFill="1"/>
    <xf numFmtId="0" fontId="2" fillId="3" borderId="7" xfId="0" applyFont="1" applyFill="1" applyBorder="1" applyAlignment="1">
      <alignment vertical="center"/>
    </xf>
    <xf numFmtId="0" fontId="0" fillId="12" borderId="0" xfId="0" applyFill="1"/>
    <xf numFmtId="0" fontId="0" fillId="11" borderId="0" xfId="0" applyFill="1"/>
    <xf numFmtId="0" fontId="0" fillId="13" borderId="0" xfId="0" applyFill="1"/>
    <xf numFmtId="0" fontId="8" fillId="10" borderId="0" xfId="0" applyFont="1" applyFill="1"/>
    <xf numFmtId="0" fontId="0" fillId="6" borderId="4" xfId="0" applyFill="1" applyBorder="1" applyAlignment="1">
      <alignment horizontal="center"/>
    </xf>
    <xf numFmtId="0" fontId="9" fillId="14" borderId="0" xfId="0" applyFont="1" applyFill="1"/>
    <xf numFmtId="0" fontId="0" fillId="14" borderId="0" xfId="0" applyFill="1"/>
    <xf numFmtId="0" fontId="9" fillId="15" borderId="0" xfId="0" applyFont="1" applyFill="1"/>
    <xf numFmtId="0" fontId="0" fillId="15" borderId="0" xfId="0" applyFill="1"/>
    <xf numFmtId="0" fontId="10" fillId="3" borderId="1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16" borderId="6" xfId="0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shrinkToFit="1"/>
    </xf>
    <xf numFmtId="0" fontId="11" fillId="10" borderId="0" xfId="0" applyFont="1" applyFill="1"/>
    <xf numFmtId="0" fontId="9" fillId="8" borderId="1" xfId="0" applyFont="1" applyFill="1" applyBorder="1"/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8" fillId="0" borderId="0" xfId="0" applyFont="1"/>
    <xf numFmtId="0" fontId="1" fillId="17" borderId="1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0" fillId="4" borderId="0" xfId="0" applyFill="1"/>
    <xf numFmtId="0" fontId="0" fillId="6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9" fillId="0" borderId="8" xfId="0" applyFont="1" applyBorder="1"/>
    <xf numFmtId="0" fontId="0" fillId="6" borderId="8" xfId="0" applyFill="1" applyBorder="1"/>
    <xf numFmtId="0" fontId="11" fillId="0" borderId="0" xfId="0" applyFont="1"/>
    <xf numFmtId="0" fontId="9" fillId="6" borderId="1" xfId="0" applyFont="1" applyFill="1" applyBorder="1"/>
    <xf numFmtId="0" fontId="11" fillId="6" borderId="1" xfId="0" applyFont="1" applyFill="1" applyBorder="1"/>
    <xf numFmtId="0" fontId="9" fillId="6" borderId="8" xfId="0" applyFont="1" applyFill="1" applyBorder="1"/>
    <xf numFmtId="0" fontId="0" fillId="0" borderId="9" xfId="0" applyBorder="1"/>
    <xf numFmtId="0" fontId="12" fillId="18" borderId="6" xfId="0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6" borderId="1" xfId="0" applyFont="1" applyFill="1" applyBorder="1"/>
    <xf numFmtId="0" fontId="0" fillId="6" borderId="0" xfId="0" applyFill="1"/>
    <xf numFmtId="0" fontId="9" fillId="0" borderId="1" xfId="0" applyFont="1" applyBorder="1"/>
    <xf numFmtId="0" fontId="11" fillId="0" borderId="8" xfId="0" applyFont="1" applyBorder="1"/>
    <xf numFmtId="0" fontId="9" fillId="0" borderId="3" xfId="0" applyFont="1" applyBorder="1"/>
    <xf numFmtId="0" fontId="0" fillId="4" borderId="11" xfId="0" quotePrefix="1" applyFill="1" applyBorder="1" applyAlignment="1">
      <alignment horizontal="center"/>
    </xf>
    <xf numFmtId="0" fontId="11" fillId="6" borderId="8" xfId="0" applyFont="1" applyFill="1" applyBorder="1"/>
    <xf numFmtId="0" fontId="0" fillId="10" borderId="8" xfId="0" applyFill="1" applyBorder="1"/>
    <xf numFmtId="0" fontId="8" fillId="10" borderId="1" xfId="0" applyFont="1" applyFill="1" applyBorder="1"/>
    <xf numFmtId="0" fontId="0" fillId="4" borderId="8" xfId="0" applyFill="1" applyBorder="1"/>
    <xf numFmtId="0" fontId="0" fillId="10" borderId="9" xfId="0" applyFill="1" applyBorder="1"/>
    <xf numFmtId="0" fontId="9" fillId="10" borderId="1" xfId="0" applyFont="1" applyFill="1" applyBorder="1"/>
    <xf numFmtId="0" fontId="0" fillId="4" borderId="1" xfId="0" applyFill="1" applyBorder="1"/>
    <xf numFmtId="0" fontId="8" fillId="4" borderId="1" xfId="0" applyFont="1" applyFill="1" applyBorder="1"/>
    <xf numFmtId="0" fontId="0" fillId="14" borderId="1" xfId="0" applyFill="1" applyBorder="1"/>
    <xf numFmtId="0" fontId="8" fillId="14" borderId="1" xfId="0" applyFont="1" applyFill="1" applyBorder="1"/>
    <xf numFmtId="0" fontId="0" fillId="12" borderId="8" xfId="0" applyFill="1" applyBorder="1"/>
    <xf numFmtId="0" fontId="0" fillId="12" borderId="1" xfId="0" applyFill="1" applyBorder="1"/>
    <xf numFmtId="0" fontId="0" fillId="12" borderId="9" xfId="0" applyFill="1" applyBorder="1"/>
    <xf numFmtId="0" fontId="8" fillId="12" borderId="1" xfId="0" applyFont="1" applyFill="1" applyBorder="1"/>
    <xf numFmtId="0" fontId="0" fillId="21" borderId="1" xfId="0" applyFill="1" applyBorder="1"/>
    <xf numFmtId="0" fontId="0" fillId="22" borderId="1" xfId="0" applyFill="1" applyBorder="1"/>
    <xf numFmtId="0" fontId="0" fillId="22" borderId="8" xfId="0" applyFill="1" applyBorder="1"/>
    <xf numFmtId="0" fontId="0" fillId="23" borderId="1" xfId="0" applyFill="1" applyBorder="1"/>
    <xf numFmtId="0" fontId="8" fillId="23" borderId="1" xfId="0" applyFont="1" applyFill="1" applyBorder="1"/>
    <xf numFmtId="0" fontId="0" fillId="23" borderId="8" xfId="0" applyFill="1" applyBorder="1"/>
    <xf numFmtId="0" fontId="0" fillId="23" borderId="9" xfId="0" applyFill="1" applyBorder="1"/>
    <xf numFmtId="0" fontId="11" fillId="10" borderId="1" xfId="0" applyFont="1" applyFill="1" applyBorder="1"/>
    <xf numFmtId="0" fontId="0" fillId="11" borderId="1" xfId="0" applyFill="1" applyBorder="1"/>
    <xf numFmtId="0" fontId="0" fillId="8" borderId="8" xfId="0" applyFill="1" applyBorder="1"/>
    <xf numFmtId="0" fontId="0" fillId="8" borderId="9" xfId="0" applyFill="1" applyBorder="1"/>
    <xf numFmtId="0" fontId="0" fillId="24" borderId="1" xfId="0" applyFill="1" applyBorder="1"/>
    <xf numFmtId="0" fontId="0" fillId="25" borderId="1" xfId="0" applyFill="1" applyBorder="1"/>
    <xf numFmtId="0" fontId="8" fillId="25" borderId="1" xfId="0" applyFont="1" applyFill="1" applyBorder="1"/>
    <xf numFmtId="0" fontId="0" fillId="19" borderId="1" xfId="0" applyFill="1" applyBorder="1" applyAlignment="1">
      <alignment horizontal="center"/>
    </xf>
    <xf numFmtId="0" fontId="10" fillId="18" borderId="9" xfId="0" applyFont="1" applyFill="1" applyBorder="1" applyAlignment="1">
      <alignment horizontal="center"/>
    </xf>
    <xf numFmtId="0" fontId="0" fillId="4" borderId="10" xfId="0" quotePrefix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16" fontId="0" fillId="4" borderId="5" xfId="0" quotePrefix="1" applyNumberFormat="1" applyFill="1" applyBorder="1" applyAlignment="1">
      <alignment horizontal="center"/>
    </xf>
    <xf numFmtId="0" fontId="0" fillId="4" borderId="6" xfId="0" quotePrefix="1" applyFill="1" applyBorder="1" applyAlignment="1">
      <alignment horizontal="center"/>
    </xf>
    <xf numFmtId="0" fontId="0" fillId="4" borderId="5" xfId="0" quotePrefix="1" applyFill="1" applyBorder="1" applyAlignment="1">
      <alignment horizontal="center"/>
    </xf>
    <xf numFmtId="0" fontId="0" fillId="20" borderId="10" xfId="0" quotePrefix="1" applyFill="1" applyBorder="1" applyAlignment="1">
      <alignment horizontal="center"/>
    </xf>
    <xf numFmtId="0" fontId="0" fillId="20" borderId="9" xfId="0" quotePrefix="1" applyFill="1" applyBorder="1" applyAlignment="1">
      <alignment horizontal="center"/>
    </xf>
  </cellXfs>
  <cellStyles count="152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Normal" xfId="0" builtinId="0"/>
    <cellStyle name="Satisfaisant" xfId="11" builtinId="26"/>
  </cellStyles>
  <dxfs count="22"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I62"/>
  <sheetViews>
    <sheetView workbookViewId="0"/>
  </sheetViews>
  <sheetFormatPr baseColWidth="10" defaultColWidth="9.140625" defaultRowHeight="15" x14ac:dyDescent="0.25"/>
  <cols>
    <col min="1" max="1" width="5.85546875" customWidth="1"/>
    <col min="2" max="2" width="20.7109375" customWidth="1"/>
    <col min="3" max="3" width="20" customWidth="1"/>
    <col min="4" max="4" width="13.85546875" customWidth="1"/>
    <col min="5" max="6" width="8.28515625" customWidth="1"/>
    <col min="7" max="7" width="7" customWidth="1"/>
  </cols>
  <sheetData>
    <row r="2" spans="1:9" x14ac:dyDescent="0.25">
      <c r="A2" s="36" t="s">
        <v>0</v>
      </c>
      <c r="B2" s="36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7" t="s">
        <v>43</v>
      </c>
    </row>
    <row r="3" spans="1:9" x14ac:dyDescent="0.25">
      <c r="A3">
        <v>15</v>
      </c>
      <c r="B3" t="s">
        <v>201</v>
      </c>
      <c r="C3" t="s">
        <v>6</v>
      </c>
      <c r="D3" t="s">
        <v>200</v>
      </c>
      <c r="E3" t="s">
        <v>202</v>
      </c>
      <c r="F3">
        <v>7</v>
      </c>
      <c r="G3">
        <f>CEILING(F3/5,1)</f>
        <v>2</v>
      </c>
      <c r="I3">
        <f>F3</f>
        <v>7</v>
      </c>
    </row>
    <row r="4" spans="1:9" x14ac:dyDescent="0.25">
      <c r="A4">
        <v>135</v>
      </c>
      <c r="B4" t="s">
        <v>224</v>
      </c>
      <c r="C4" t="s">
        <v>6</v>
      </c>
      <c r="D4" t="s">
        <v>225</v>
      </c>
      <c r="E4" t="s">
        <v>226</v>
      </c>
      <c r="F4">
        <v>9</v>
      </c>
      <c r="G4">
        <f t="shared" ref="G4:G45" si="0">CEILING(F4/5,1)</f>
        <v>2</v>
      </c>
      <c r="H4" s="15"/>
      <c r="I4">
        <f t="shared" ref="I4:I15" si="1">F4</f>
        <v>9</v>
      </c>
    </row>
    <row r="5" spans="1:9" x14ac:dyDescent="0.25">
      <c r="A5">
        <v>107</v>
      </c>
      <c r="B5" t="s">
        <v>139</v>
      </c>
      <c r="C5" t="s">
        <v>6</v>
      </c>
      <c r="D5" t="s">
        <v>140</v>
      </c>
      <c r="E5" t="s">
        <v>141</v>
      </c>
      <c r="F5">
        <v>11</v>
      </c>
      <c r="G5">
        <f t="shared" si="0"/>
        <v>3</v>
      </c>
      <c r="I5">
        <f t="shared" si="1"/>
        <v>11</v>
      </c>
    </row>
    <row r="6" spans="1:9" x14ac:dyDescent="0.25">
      <c r="A6">
        <v>22</v>
      </c>
      <c r="B6" t="s">
        <v>10</v>
      </c>
      <c r="C6" t="s">
        <v>6</v>
      </c>
      <c r="D6" t="s">
        <v>11</v>
      </c>
      <c r="E6" t="s">
        <v>10</v>
      </c>
      <c r="F6">
        <v>31</v>
      </c>
      <c r="G6">
        <f t="shared" si="0"/>
        <v>7</v>
      </c>
      <c r="I6">
        <f t="shared" si="1"/>
        <v>31</v>
      </c>
    </row>
    <row r="7" spans="1:9" x14ac:dyDescent="0.25">
      <c r="A7">
        <v>23</v>
      </c>
      <c r="B7" t="s">
        <v>12</v>
      </c>
      <c r="C7" t="s">
        <v>6</v>
      </c>
      <c r="D7" t="s">
        <v>13</v>
      </c>
      <c r="E7" t="s">
        <v>14</v>
      </c>
      <c r="F7">
        <v>28</v>
      </c>
      <c r="G7">
        <f t="shared" si="0"/>
        <v>6</v>
      </c>
      <c r="I7">
        <f t="shared" si="1"/>
        <v>28</v>
      </c>
    </row>
    <row r="8" spans="1:9" x14ac:dyDescent="0.25">
      <c r="A8">
        <v>25</v>
      </c>
      <c r="B8" t="s">
        <v>144</v>
      </c>
      <c r="C8" t="s">
        <v>6</v>
      </c>
      <c r="D8" t="s">
        <v>15</v>
      </c>
      <c r="E8" t="s">
        <v>145</v>
      </c>
      <c r="F8">
        <v>8</v>
      </c>
      <c r="G8">
        <f t="shared" si="0"/>
        <v>2</v>
      </c>
      <c r="I8">
        <f t="shared" si="1"/>
        <v>8</v>
      </c>
    </row>
    <row r="9" spans="1:9" x14ac:dyDescent="0.25">
      <c r="A9">
        <v>86</v>
      </c>
      <c r="B9" t="s">
        <v>142</v>
      </c>
      <c r="C9" t="s">
        <v>6</v>
      </c>
      <c r="D9" t="s">
        <v>227</v>
      </c>
      <c r="E9" t="s">
        <v>143</v>
      </c>
      <c r="F9">
        <v>24</v>
      </c>
      <c r="G9">
        <f t="shared" si="0"/>
        <v>5</v>
      </c>
      <c r="H9" s="15"/>
      <c r="I9">
        <f t="shared" si="1"/>
        <v>24</v>
      </c>
    </row>
    <row r="10" spans="1:9" x14ac:dyDescent="0.25">
      <c r="A10">
        <v>26</v>
      </c>
      <c r="B10" t="s">
        <v>16</v>
      </c>
      <c r="C10" t="s">
        <v>6</v>
      </c>
      <c r="D10" t="s">
        <v>17</v>
      </c>
      <c r="E10" t="s">
        <v>18</v>
      </c>
      <c r="F10">
        <v>20</v>
      </c>
      <c r="G10">
        <f t="shared" si="0"/>
        <v>4</v>
      </c>
      <c r="H10" s="15"/>
      <c r="I10">
        <f t="shared" si="1"/>
        <v>20</v>
      </c>
    </row>
    <row r="11" spans="1:9" x14ac:dyDescent="0.25">
      <c r="A11">
        <v>139</v>
      </c>
      <c r="B11" t="s">
        <v>256</v>
      </c>
      <c r="C11" t="s">
        <v>6</v>
      </c>
      <c r="D11" t="s">
        <v>255</v>
      </c>
      <c r="E11" t="s">
        <v>256</v>
      </c>
      <c r="F11">
        <v>9</v>
      </c>
      <c r="G11">
        <f t="shared" si="0"/>
        <v>2</v>
      </c>
      <c r="I11">
        <f t="shared" si="1"/>
        <v>9</v>
      </c>
    </row>
    <row r="12" spans="1:9" x14ac:dyDescent="0.25">
      <c r="A12">
        <v>75</v>
      </c>
      <c r="B12" t="s">
        <v>204</v>
      </c>
      <c r="C12" t="s">
        <v>6</v>
      </c>
      <c r="D12" t="s">
        <v>203</v>
      </c>
      <c r="E12" t="s">
        <v>205</v>
      </c>
      <c r="F12">
        <v>57</v>
      </c>
      <c r="G12">
        <f t="shared" si="0"/>
        <v>12</v>
      </c>
      <c r="I12">
        <f t="shared" si="1"/>
        <v>57</v>
      </c>
    </row>
    <row r="13" spans="1:9" x14ac:dyDescent="0.25">
      <c r="A13">
        <v>125</v>
      </c>
      <c r="B13" t="s">
        <v>212</v>
      </c>
      <c r="C13" t="s">
        <v>6</v>
      </c>
      <c r="D13" t="s">
        <v>213</v>
      </c>
      <c r="E13" t="s">
        <v>214</v>
      </c>
      <c r="F13">
        <v>4</v>
      </c>
      <c r="G13">
        <f t="shared" si="0"/>
        <v>1</v>
      </c>
      <c r="I13">
        <f t="shared" si="1"/>
        <v>4</v>
      </c>
    </row>
    <row r="14" spans="1:9" x14ac:dyDescent="0.25">
      <c r="A14">
        <v>102</v>
      </c>
      <c r="B14" t="s">
        <v>258</v>
      </c>
      <c r="C14" t="s">
        <v>6</v>
      </c>
      <c r="D14" t="s">
        <v>257</v>
      </c>
      <c r="E14" t="s">
        <v>258</v>
      </c>
      <c r="F14">
        <v>2</v>
      </c>
      <c r="G14">
        <f t="shared" si="0"/>
        <v>1</v>
      </c>
      <c r="I14">
        <f t="shared" si="1"/>
        <v>2</v>
      </c>
    </row>
    <row r="15" spans="1:9" x14ac:dyDescent="0.25">
      <c r="A15">
        <v>108</v>
      </c>
      <c r="B15" t="s">
        <v>190</v>
      </c>
      <c r="C15" t="s">
        <v>6</v>
      </c>
      <c r="D15" t="s">
        <v>191</v>
      </c>
      <c r="E15" t="s">
        <v>192</v>
      </c>
      <c r="F15">
        <v>80</v>
      </c>
      <c r="G15">
        <f t="shared" si="0"/>
        <v>16</v>
      </c>
      <c r="I15">
        <f t="shared" si="1"/>
        <v>80</v>
      </c>
    </row>
    <row r="16" spans="1:9" x14ac:dyDescent="0.25">
      <c r="A16">
        <v>103</v>
      </c>
      <c r="B16" t="s">
        <v>128</v>
      </c>
      <c r="C16" t="s">
        <v>6</v>
      </c>
      <c r="D16" t="s">
        <v>129</v>
      </c>
      <c r="E16" t="s">
        <v>128</v>
      </c>
      <c r="F16">
        <v>177</v>
      </c>
      <c r="G16">
        <f t="shared" si="0"/>
        <v>36</v>
      </c>
      <c r="I16">
        <f>F16</f>
        <v>177</v>
      </c>
    </row>
    <row r="17" spans="1:9" x14ac:dyDescent="0.25">
      <c r="A17">
        <v>131</v>
      </c>
      <c r="B17" t="s">
        <v>220</v>
      </c>
      <c r="C17" t="s">
        <v>6</v>
      </c>
      <c r="D17" t="s">
        <v>219</v>
      </c>
      <c r="E17" t="s">
        <v>221</v>
      </c>
      <c r="F17">
        <v>30</v>
      </c>
      <c r="G17">
        <f t="shared" si="0"/>
        <v>6</v>
      </c>
      <c r="H17" s="15"/>
      <c r="I17">
        <f t="shared" ref="I17:I45" si="2">F17</f>
        <v>30</v>
      </c>
    </row>
    <row r="18" spans="1:9" x14ac:dyDescent="0.25">
      <c r="A18">
        <v>140</v>
      </c>
      <c r="B18" t="s">
        <v>260</v>
      </c>
      <c r="C18" t="s">
        <v>6</v>
      </c>
      <c r="D18" t="s">
        <v>259</v>
      </c>
      <c r="E18" t="s">
        <v>260</v>
      </c>
      <c r="F18">
        <v>13</v>
      </c>
      <c r="G18">
        <f t="shared" si="0"/>
        <v>3</v>
      </c>
      <c r="H18" s="15"/>
      <c r="I18">
        <f t="shared" si="2"/>
        <v>13</v>
      </c>
    </row>
    <row r="19" spans="1:9" x14ac:dyDescent="0.25">
      <c r="A19">
        <v>74</v>
      </c>
      <c r="B19" t="s">
        <v>261</v>
      </c>
      <c r="C19" t="s">
        <v>6</v>
      </c>
      <c r="D19" t="s">
        <v>242</v>
      </c>
      <c r="E19" t="s">
        <v>7</v>
      </c>
      <c r="F19">
        <v>44</v>
      </c>
      <c r="G19">
        <f t="shared" si="0"/>
        <v>9</v>
      </c>
      <c r="H19" s="15"/>
      <c r="I19">
        <f t="shared" si="2"/>
        <v>44</v>
      </c>
    </row>
    <row r="20" spans="1:9" x14ac:dyDescent="0.25">
      <c r="A20">
        <v>115</v>
      </c>
      <c r="B20" t="s">
        <v>207</v>
      </c>
      <c r="C20" t="s">
        <v>6</v>
      </c>
      <c r="D20" t="s">
        <v>206</v>
      </c>
      <c r="E20" t="s">
        <v>208</v>
      </c>
      <c r="F20">
        <v>41</v>
      </c>
      <c r="G20">
        <f t="shared" si="0"/>
        <v>9</v>
      </c>
      <c r="I20">
        <f t="shared" si="2"/>
        <v>41</v>
      </c>
    </row>
    <row r="21" spans="1:9" x14ac:dyDescent="0.25">
      <c r="A21">
        <v>113</v>
      </c>
      <c r="B21" t="s">
        <v>193</v>
      </c>
      <c r="C21" t="s">
        <v>6</v>
      </c>
      <c r="D21" t="s">
        <v>228</v>
      </c>
      <c r="E21" t="s">
        <v>194</v>
      </c>
      <c r="F21">
        <v>19</v>
      </c>
      <c r="G21">
        <f t="shared" si="0"/>
        <v>4</v>
      </c>
      <c r="I21">
        <f t="shared" si="2"/>
        <v>19</v>
      </c>
    </row>
    <row r="22" spans="1:9" x14ac:dyDescent="0.25">
      <c r="A22">
        <v>144</v>
      </c>
      <c r="B22" t="s">
        <v>272</v>
      </c>
      <c r="C22" t="s">
        <v>6</v>
      </c>
      <c r="D22" t="s">
        <v>271</v>
      </c>
      <c r="E22" t="s">
        <v>273</v>
      </c>
      <c r="F22">
        <v>3</v>
      </c>
      <c r="G22">
        <f t="shared" si="0"/>
        <v>1</v>
      </c>
      <c r="I22">
        <f t="shared" si="2"/>
        <v>3</v>
      </c>
    </row>
    <row r="23" spans="1:9" x14ac:dyDescent="0.25">
      <c r="A23">
        <v>16</v>
      </c>
      <c r="B23" t="s">
        <v>8</v>
      </c>
      <c r="C23" t="s">
        <v>6</v>
      </c>
      <c r="D23" t="s">
        <v>229</v>
      </c>
      <c r="E23" t="s">
        <v>9</v>
      </c>
      <c r="F23">
        <v>12</v>
      </c>
      <c r="G23">
        <f t="shared" si="0"/>
        <v>3</v>
      </c>
      <c r="I23">
        <f t="shared" si="2"/>
        <v>12</v>
      </c>
    </row>
    <row r="24" spans="1:9" x14ac:dyDescent="0.25">
      <c r="A24">
        <v>142</v>
      </c>
      <c r="B24" t="s">
        <v>263</v>
      </c>
      <c r="D24" t="s">
        <v>262</v>
      </c>
      <c r="E24" t="s">
        <v>264</v>
      </c>
      <c r="F24">
        <v>11</v>
      </c>
      <c r="G24">
        <f t="shared" si="0"/>
        <v>3</v>
      </c>
      <c r="I24">
        <f t="shared" si="2"/>
        <v>11</v>
      </c>
    </row>
    <row r="25" spans="1:9" x14ac:dyDescent="0.25">
      <c r="A25">
        <v>85</v>
      </c>
      <c r="B25" t="s">
        <v>19</v>
      </c>
      <c r="C25" t="s">
        <v>20</v>
      </c>
      <c r="D25" t="s">
        <v>21</v>
      </c>
      <c r="E25" t="s">
        <v>22</v>
      </c>
      <c r="F25">
        <v>16</v>
      </c>
      <c r="G25">
        <f t="shared" si="0"/>
        <v>4</v>
      </c>
      <c r="I25">
        <f t="shared" si="2"/>
        <v>16</v>
      </c>
    </row>
    <row r="26" spans="1:9" x14ac:dyDescent="0.25">
      <c r="A26">
        <v>128</v>
      </c>
      <c r="B26" t="s">
        <v>275</v>
      </c>
      <c r="D26" t="s">
        <v>274</v>
      </c>
      <c r="E26" t="s">
        <v>276</v>
      </c>
      <c r="F26">
        <v>1</v>
      </c>
      <c r="G26">
        <f t="shared" si="0"/>
        <v>1</v>
      </c>
      <c r="H26" s="15"/>
      <c r="I26">
        <f t="shared" si="2"/>
        <v>1</v>
      </c>
    </row>
    <row r="27" spans="1:9" x14ac:dyDescent="0.25">
      <c r="A27">
        <v>36</v>
      </c>
      <c r="B27" t="s">
        <v>80</v>
      </c>
      <c r="C27" t="s">
        <v>126</v>
      </c>
      <c r="D27" t="s">
        <v>62</v>
      </c>
      <c r="E27" t="s">
        <v>63</v>
      </c>
      <c r="F27">
        <v>120</v>
      </c>
      <c r="G27">
        <f t="shared" si="0"/>
        <v>24</v>
      </c>
      <c r="I27">
        <f t="shared" si="2"/>
        <v>120</v>
      </c>
    </row>
    <row r="28" spans="1:9" x14ac:dyDescent="0.25">
      <c r="A28">
        <v>143</v>
      </c>
      <c r="B28" t="s">
        <v>278</v>
      </c>
      <c r="C28" t="s">
        <v>279</v>
      </c>
      <c r="D28" t="s">
        <v>277</v>
      </c>
      <c r="E28" t="s">
        <v>280</v>
      </c>
      <c r="F28">
        <v>6</v>
      </c>
      <c r="G28">
        <f t="shared" si="0"/>
        <v>2</v>
      </c>
      <c r="I28">
        <f t="shared" si="2"/>
        <v>6</v>
      </c>
    </row>
    <row r="29" spans="1:9" x14ac:dyDescent="0.25">
      <c r="A29">
        <v>43</v>
      </c>
      <c r="B29" t="s">
        <v>222</v>
      </c>
      <c r="C29" t="s">
        <v>23</v>
      </c>
      <c r="D29" t="s">
        <v>215</v>
      </c>
      <c r="E29" t="s">
        <v>223</v>
      </c>
      <c r="F29">
        <v>35</v>
      </c>
      <c r="G29">
        <f t="shared" si="0"/>
        <v>7</v>
      </c>
      <c r="H29" s="15"/>
      <c r="I29">
        <f t="shared" si="2"/>
        <v>35</v>
      </c>
    </row>
    <row r="30" spans="1:9" x14ac:dyDescent="0.25">
      <c r="A30">
        <v>95</v>
      </c>
      <c r="B30" t="s">
        <v>230</v>
      </c>
      <c r="C30" t="s">
        <v>127</v>
      </c>
      <c r="D30" t="s">
        <v>231</v>
      </c>
      <c r="E30" t="s">
        <v>24</v>
      </c>
      <c r="F30">
        <v>44</v>
      </c>
      <c r="G30">
        <f t="shared" si="0"/>
        <v>9</v>
      </c>
      <c r="I30">
        <f t="shared" si="2"/>
        <v>44</v>
      </c>
    </row>
    <row r="31" spans="1:9" x14ac:dyDescent="0.25">
      <c r="A31">
        <v>44</v>
      </c>
      <c r="B31" t="s">
        <v>169</v>
      </c>
      <c r="C31" t="s">
        <v>265</v>
      </c>
      <c r="D31" t="s">
        <v>170</v>
      </c>
      <c r="E31" t="s">
        <v>65</v>
      </c>
      <c r="F31">
        <v>116</v>
      </c>
      <c r="G31">
        <f t="shared" si="0"/>
        <v>24</v>
      </c>
      <c r="I31">
        <f t="shared" si="2"/>
        <v>116</v>
      </c>
    </row>
    <row r="32" spans="1:9" x14ac:dyDescent="0.25">
      <c r="A32">
        <v>49</v>
      </c>
      <c r="B32" t="s">
        <v>25</v>
      </c>
      <c r="C32" t="s">
        <v>26</v>
      </c>
      <c r="D32" t="s">
        <v>27</v>
      </c>
      <c r="E32" t="s">
        <v>25</v>
      </c>
      <c r="F32">
        <v>31</v>
      </c>
      <c r="G32">
        <f t="shared" si="0"/>
        <v>7</v>
      </c>
      <c r="I32">
        <f t="shared" si="2"/>
        <v>31</v>
      </c>
    </row>
    <row r="33" spans="1:9" x14ac:dyDescent="0.25">
      <c r="A33">
        <v>78</v>
      </c>
      <c r="B33" t="s">
        <v>216</v>
      </c>
      <c r="C33" t="s">
        <v>26</v>
      </c>
      <c r="D33" t="s">
        <v>217</v>
      </c>
      <c r="E33" t="s">
        <v>195</v>
      </c>
      <c r="F33">
        <v>23</v>
      </c>
      <c r="G33">
        <f t="shared" si="0"/>
        <v>5</v>
      </c>
      <c r="I33">
        <f t="shared" si="2"/>
        <v>23</v>
      </c>
    </row>
    <row r="34" spans="1:9" x14ac:dyDescent="0.25">
      <c r="A34">
        <v>50</v>
      </c>
      <c r="B34" t="s">
        <v>28</v>
      </c>
      <c r="C34" t="s">
        <v>29</v>
      </c>
      <c r="D34" t="s">
        <v>266</v>
      </c>
      <c r="E34" t="s">
        <v>30</v>
      </c>
      <c r="F34">
        <v>16</v>
      </c>
      <c r="G34">
        <f t="shared" si="0"/>
        <v>4</v>
      </c>
      <c r="I34">
        <f t="shared" si="2"/>
        <v>16</v>
      </c>
    </row>
    <row r="35" spans="1:9" x14ac:dyDescent="0.25">
      <c r="A35">
        <v>55</v>
      </c>
      <c r="B35" t="s">
        <v>31</v>
      </c>
      <c r="C35" t="s">
        <v>32</v>
      </c>
      <c r="D35" t="s">
        <v>33</v>
      </c>
      <c r="E35" t="s">
        <v>34</v>
      </c>
      <c r="F35" s="1">
        <v>12</v>
      </c>
      <c r="G35">
        <f t="shared" si="0"/>
        <v>3</v>
      </c>
      <c r="H35" s="15"/>
      <c r="I35">
        <f t="shared" si="2"/>
        <v>12</v>
      </c>
    </row>
    <row r="36" spans="1:9" x14ac:dyDescent="0.25">
      <c r="A36">
        <v>58</v>
      </c>
      <c r="B36" t="s">
        <v>35</v>
      </c>
      <c r="C36" t="s">
        <v>36</v>
      </c>
      <c r="D36" t="s">
        <v>37</v>
      </c>
      <c r="E36" t="s">
        <v>35</v>
      </c>
      <c r="F36" s="1">
        <v>8</v>
      </c>
      <c r="G36">
        <f t="shared" si="0"/>
        <v>2</v>
      </c>
      <c r="I36">
        <f t="shared" si="2"/>
        <v>8</v>
      </c>
    </row>
    <row r="37" spans="1:9" x14ac:dyDescent="0.25">
      <c r="A37">
        <v>97</v>
      </c>
      <c r="B37" t="s">
        <v>38</v>
      </c>
      <c r="C37" t="s">
        <v>32</v>
      </c>
      <c r="D37" t="s">
        <v>39</v>
      </c>
      <c r="E37" t="s">
        <v>40</v>
      </c>
      <c r="F37" s="1">
        <v>44</v>
      </c>
      <c r="G37">
        <f t="shared" si="0"/>
        <v>9</v>
      </c>
      <c r="I37">
        <f t="shared" si="2"/>
        <v>44</v>
      </c>
    </row>
    <row r="38" spans="1:9" x14ac:dyDescent="0.25">
      <c r="A38">
        <v>136</v>
      </c>
      <c r="B38" t="s">
        <v>232</v>
      </c>
      <c r="D38" t="s">
        <v>233</v>
      </c>
      <c r="E38" t="s">
        <v>234</v>
      </c>
      <c r="F38" s="1">
        <v>25</v>
      </c>
      <c r="G38">
        <f t="shared" si="0"/>
        <v>5</v>
      </c>
      <c r="I38">
        <f t="shared" si="2"/>
        <v>25</v>
      </c>
    </row>
    <row r="39" spans="1:9" x14ac:dyDescent="0.25">
      <c r="A39">
        <v>137</v>
      </c>
      <c r="B39" t="s">
        <v>235</v>
      </c>
      <c r="D39" t="s">
        <v>236</v>
      </c>
      <c r="E39" t="s">
        <v>237</v>
      </c>
      <c r="F39" s="1">
        <v>41</v>
      </c>
      <c r="G39">
        <f t="shared" si="0"/>
        <v>9</v>
      </c>
      <c r="I39">
        <f t="shared" si="2"/>
        <v>41</v>
      </c>
    </row>
    <row r="40" spans="1:9" x14ac:dyDescent="0.25">
      <c r="A40">
        <v>134</v>
      </c>
      <c r="B40" t="s">
        <v>282</v>
      </c>
      <c r="D40" t="s">
        <v>281</v>
      </c>
      <c r="E40" t="s">
        <v>283</v>
      </c>
      <c r="F40" s="1">
        <v>1</v>
      </c>
      <c r="G40">
        <f t="shared" si="0"/>
        <v>1</v>
      </c>
      <c r="I40">
        <f t="shared" si="2"/>
        <v>1</v>
      </c>
    </row>
    <row r="41" spans="1:9" x14ac:dyDescent="0.25">
      <c r="A41">
        <v>141</v>
      </c>
      <c r="B41" t="s">
        <v>268</v>
      </c>
      <c r="D41" t="s">
        <v>267</v>
      </c>
      <c r="E41" t="s">
        <v>269</v>
      </c>
      <c r="F41" s="1">
        <v>6</v>
      </c>
      <c r="G41">
        <f t="shared" si="0"/>
        <v>2</v>
      </c>
      <c r="I41">
        <f t="shared" si="2"/>
        <v>6</v>
      </c>
    </row>
    <row r="42" spans="1:9" x14ac:dyDescent="0.25">
      <c r="A42">
        <v>106</v>
      </c>
      <c r="B42" t="s">
        <v>146</v>
      </c>
      <c r="C42" t="s">
        <v>147</v>
      </c>
      <c r="D42" t="s">
        <v>238</v>
      </c>
      <c r="E42" t="s">
        <v>148</v>
      </c>
      <c r="F42" s="1">
        <v>8</v>
      </c>
      <c r="G42">
        <f t="shared" si="0"/>
        <v>2</v>
      </c>
      <c r="I42">
        <f t="shared" si="2"/>
        <v>8</v>
      </c>
    </row>
    <row r="43" spans="1:9" x14ac:dyDescent="0.25">
      <c r="A43">
        <v>114</v>
      </c>
      <c r="B43" t="s">
        <v>196</v>
      </c>
      <c r="C43" t="s">
        <v>149</v>
      </c>
      <c r="D43" t="s">
        <v>197</v>
      </c>
      <c r="E43" t="s">
        <v>198</v>
      </c>
      <c r="F43" s="1">
        <v>49</v>
      </c>
      <c r="G43">
        <f t="shared" si="0"/>
        <v>10</v>
      </c>
      <c r="I43">
        <f t="shared" si="2"/>
        <v>49</v>
      </c>
    </row>
    <row r="44" spans="1:9" x14ac:dyDescent="0.25">
      <c r="A44">
        <v>99</v>
      </c>
      <c r="B44" t="s">
        <v>41</v>
      </c>
      <c r="C44" t="s">
        <v>199</v>
      </c>
      <c r="D44" t="s">
        <v>239</v>
      </c>
      <c r="E44" t="s">
        <v>41</v>
      </c>
      <c r="F44" s="1">
        <v>152</v>
      </c>
      <c r="G44">
        <f t="shared" si="0"/>
        <v>31</v>
      </c>
      <c r="I44">
        <f t="shared" si="2"/>
        <v>152</v>
      </c>
    </row>
    <row r="45" spans="1:9" x14ac:dyDescent="0.25">
      <c r="A45">
        <v>72</v>
      </c>
      <c r="B45" t="s">
        <v>42</v>
      </c>
      <c r="C45" t="s">
        <v>270</v>
      </c>
      <c r="D45" t="s">
        <v>240</v>
      </c>
      <c r="E45" t="s">
        <v>42</v>
      </c>
      <c r="F45" s="1">
        <v>8</v>
      </c>
      <c r="G45">
        <f t="shared" si="0"/>
        <v>2</v>
      </c>
      <c r="I45">
        <f t="shared" si="2"/>
        <v>8</v>
      </c>
    </row>
    <row r="46" spans="1:9" x14ac:dyDescent="0.25">
      <c r="F46">
        <f>SUM(F3:F45)</f>
        <v>1402</v>
      </c>
      <c r="G46">
        <f>SUM(G3:G45)</f>
        <v>300</v>
      </c>
      <c r="I46">
        <f>SUM(I3:I45)</f>
        <v>1402</v>
      </c>
    </row>
    <row r="55" spans="1:7" x14ac:dyDescent="0.25">
      <c r="A55" s="2"/>
    </row>
    <row r="56" spans="1:7" x14ac:dyDescent="0.25">
      <c r="A56" s="2"/>
    </row>
    <row r="57" spans="1:7" x14ac:dyDescent="0.25">
      <c r="A57" s="2"/>
    </row>
    <row r="58" spans="1:7" x14ac:dyDescent="0.25">
      <c r="A58" s="35" t="s">
        <v>0</v>
      </c>
      <c r="B58" s="35" t="s">
        <v>1</v>
      </c>
      <c r="C58" s="35" t="s">
        <v>2</v>
      </c>
      <c r="D58" s="35" t="s">
        <v>3</v>
      </c>
      <c r="E58" s="35" t="s">
        <v>4</v>
      </c>
      <c r="F58" s="35" t="s">
        <v>250</v>
      </c>
      <c r="G58" s="35" t="s">
        <v>251</v>
      </c>
    </row>
    <row r="59" spans="1:7" x14ac:dyDescent="0.25">
      <c r="A59">
        <v>51</v>
      </c>
      <c r="B59" t="s">
        <v>252</v>
      </c>
      <c r="D59" t="s">
        <v>253</v>
      </c>
      <c r="E59" t="s">
        <v>254</v>
      </c>
      <c r="F59">
        <v>1</v>
      </c>
    </row>
    <row r="60" spans="1:7" x14ac:dyDescent="0.25">
      <c r="A60" s="2"/>
    </row>
    <row r="61" spans="1:7" x14ac:dyDescent="0.25">
      <c r="A61" s="2"/>
    </row>
    <row r="62" spans="1:7" x14ac:dyDescent="0.25">
      <c r="A62" s="2"/>
    </row>
  </sheetData>
  <sortState xmlns:xlrd2="http://schemas.microsoft.com/office/spreadsheetml/2017/richdata2" ref="A3:G35">
    <sortCondition ref="D3:D35"/>
  </sortState>
  <phoneticPr fontId="6" type="noConversion"/>
  <pageMargins left="0.70000000000000007" right="0.70000000000000007" top="0.75000000000000011" bottom="0.75000000000000011" header="0.30000000000000004" footer="0.30000000000000004"/>
  <pageSetup paperSize="9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K47"/>
  <sheetViews>
    <sheetView tabSelected="1" topLeftCell="A30" zoomScale="160" zoomScaleNormal="160" workbookViewId="0">
      <selection activeCell="A48" sqref="A48:XFD48"/>
    </sheetView>
  </sheetViews>
  <sheetFormatPr baseColWidth="10" defaultRowHeight="15" x14ac:dyDescent="0.25"/>
  <cols>
    <col min="1" max="1" width="32.42578125" customWidth="1"/>
    <col min="2" max="2" width="9.85546875" customWidth="1"/>
    <col min="3" max="3" width="6.42578125" customWidth="1"/>
    <col min="4" max="4" width="10.85546875" hidden="1" customWidth="1"/>
    <col min="5" max="36" width="4.140625" customWidth="1"/>
    <col min="37" max="37" width="4" customWidth="1"/>
  </cols>
  <sheetData>
    <row r="1" spans="1:37" x14ac:dyDescent="0.25">
      <c r="E1" s="90" t="s">
        <v>187</v>
      </c>
      <c r="F1" s="91"/>
      <c r="G1" s="92" t="s">
        <v>124</v>
      </c>
      <c r="H1" s="91"/>
      <c r="I1" s="90" t="s">
        <v>46</v>
      </c>
      <c r="J1" s="91"/>
      <c r="K1" s="92" t="s">
        <v>47</v>
      </c>
      <c r="L1" s="91"/>
      <c r="M1" s="88" t="s">
        <v>188</v>
      </c>
      <c r="N1" s="89"/>
      <c r="O1" s="88" t="s">
        <v>189</v>
      </c>
      <c r="P1" s="89"/>
      <c r="Q1" s="88" t="s">
        <v>218</v>
      </c>
      <c r="R1" s="89"/>
      <c r="S1" s="88" t="s">
        <v>50</v>
      </c>
      <c r="T1" s="89"/>
      <c r="U1" s="88" t="s">
        <v>51</v>
      </c>
      <c r="V1" s="89"/>
      <c r="W1" s="88" t="s">
        <v>137</v>
      </c>
      <c r="X1" s="89"/>
      <c r="Y1" s="88" t="s">
        <v>132</v>
      </c>
      <c r="Z1" s="89"/>
      <c r="AA1" s="88" t="s">
        <v>125</v>
      </c>
      <c r="AB1" s="89"/>
      <c r="AC1" s="88" t="s">
        <v>54</v>
      </c>
      <c r="AD1" s="89"/>
      <c r="AE1" s="88" t="s">
        <v>55</v>
      </c>
      <c r="AF1" s="89"/>
      <c r="AG1" s="88" t="s">
        <v>138</v>
      </c>
      <c r="AH1" s="89"/>
      <c r="AI1" s="88" t="s">
        <v>133</v>
      </c>
      <c r="AJ1" s="89"/>
    </row>
    <row r="2" spans="1:37" x14ac:dyDescent="0.25">
      <c r="E2" s="3" t="s">
        <v>56</v>
      </c>
      <c r="F2" s="3" t="s">
        <v>57</v>
      </c>
      <c r="G2" s="3" t="s">
        <v>56</v>
      </c>
      <c r="H2" s="3" t="s">
        <v>57</v>
      </c>
      <c r="I2" s="3" t="s">
        <v>56</v>
      </c>
      <c r="J2" s="3" t="s">
        <v>57</v>
      </c>
      <c r="K2" s="3" t="s">
        <v>56</v>
      </c>
      <c r="L2" s="3" t="s">
        <v>57</v>
      </c>
      <c r="M2" s="3" t="s">
        <v>56</v>
      </c>
      <c r="N2" s="3" t="s">
        <v>57</v>
      </c>
      <c r="O2" s="3" t="s">
        <v>56</v>
      </c>
      <c r="P2" s="3" t="s">
        <v>57</v>
      </c>
      <c r="Q2" s="3" t="s">
        <v>56</v>
      </c>
      <c r="R2" s="3" t="s">
        <v>57</v>
      </c>
      <c r="S2" s="3" t="s">
        <v>56</v>
      </c>
      <c r="T2" s="3" t="s">
        <v>57</v>
      </c>
      <c r="U2" s="3" t="s">
        <v>56</v>
      </c>
      <c r="V2" s="3" t="s">
        <v>57</v>
      </c>
      <c r="W2" s="3" t="s">
        <v>56</v>
      </c>
      <c r="X2" s="3" t="s">
        <v>57</v>
      </c>
      <c r="Y2" s="3" t="s">
        <v>56</v>
      </c>
      <c r="Z2" s="3" t="s">
        <v>57</v>
      </c>
      <c r="AA2" s="3" t="s">
        <v>56</v>
      </c>
      <c r="AB2" s="3" t="s">
        <v>57</v>
      </c>
      <c r="AC2" s="3" t="s">
        <v>56</v>
      </c>
      <c r="AD2" s="3" t="s">
        <v>57</v>
      </c>
      <c r="AE2" s="3" t="s">
        <v>56</v>
      </c>
      <c r="AF2" s="3" t="s">
        <v>57</v>
      </c>
      <c r="AG2" s="3" t="s">
        <v>56</v>
      </c>
      <c r="AH2" s="3" t="s">
        <v>57</v>
      </c>
      <c r="AI2" s="3" t="s">
        <v>56</v>
      </c>
      <c r="AJ2" s="3" t="s">
        <v>57</v>
      </c>
    </row>
    <row r="3" spans="1:37" x14ac:dyDescent="0.25">
      <c r="A3" s="10" t="str">
        <f>'E4-2016'!B3</f>
        <v>Lycee BETH SEFER</v>
      </c>
      <c r="B3" s="4" t="str">
        <f>'E4-2016'!D3</f>
        <v>0753372H</v>
      </c>
      <c r="C3" s="4" t="str">
        <f>'E4-2016'!E3</f>
        <v>SEFE</v>
      </c>
      <c r="D3" s="4"/>
      <c r="E3" s="5">
        <v>1</v>
      </c>
      <c r="F3" s="5"/>
      <c r="G3" s="6">
        <v>1</v>
      </c>
      <c r="H3" s="6"/>
      <c r="I3" s="5"/>
      <c r="J3" s="5"/>
      <c r="K3" s="6"/>
      <c r="L3" s="6"/>
      <c r="M3" s="25"/>
      <c r="N3" s="26"/>
      <c r="O3" s="49"/>
      <c r="P3" s="49"/>
      <c r="Q3" s="25"/>
      <c r="R3" s="26"/>
      <c r="S3" s="27"/>
      <c r="T3" s="27"/>
      <c r="U3" s="32"/>
      <c r="V3" s="33"/>
      <c r="W3" s="34"/>
      <c r="X3" s="34"/>
      <c r="Y3" s="32"/>
      <c r="Z3" s="33"/>
      <c r="AA3" s="34"/>
      <c r="AB3" s="34"/>
      <c r="AC3" s="5"/>
      <c r="AD3" s="5"/>
      <c r="AE3" s="6"/>
      <c r="AF3" s="6"/>
      <c r="AG3" s="5"/>
      <c r="AH3" s="5"/>
      <c r="AI3" s="6"/>
      <c r="AJ3" s="6"/>
      <c r="AK3">
        <f t="shared" ref="AK3:AK45" si="0">SUM(E3:AJ3)</f>
        <v>2</v>
      </c>
    </row>
    <row r="4" spans="1:37" x14ac:dyDescent="0.25">
      <c r="A4" s="10" t="str">
        <f>'E4-2016'!B4</f>
        <v>Lycée Fénelon Sup La Pleine Monceau</v>
      </c>
      <c r="B4" s="4" t="str">
        <f>'E4-2016'!D4</f>
        <v>0754037F</v>
      </c>
      <c r="C4" s="4" t="str">
        <f>'E4-2016'!E4</f>
        <v>LFS</v>
      </c>
      <c r="D4" s="4"/>
      <c r="E4" s="32"/>
      <c r="F4" s="33"/>
      <c r="G4" s="34"/>
      <c r="H4" s="34"/>
      <c r="I4" s="5"/>
      <c r="J4" s="5"/>
      <c r="K4" s="6"/>
      <c r="L4" s="6"/>
      <c r="M4" s="5">
        <v>1</v>
      </c>
      <c r="N4" s="5"/>
      <c r="O4" s="86">
        <v>1</v>
      </c>
      <c r="P4" s="50"/>
      <c r="Q4" s="5"/>
      <c r="R4" s="5"/>
      <c r="S4" s="6"/>
      <c r="T4" s="6"/>
      <c r="U4" s="5"/>
      <c r="V4" s="5"/>
      <c r="W4" s="6"/>
      <c r="X4" s="6"/>
      <c r="Y4" s="32"/>
      <c r="Z4" s="33"/>
      <c r="AA4" s="34"/>
      <c r="AB4" s="34"/>
      <c r="AC4" s="5"/>
      <c r="AD4" s="5"/>
      <c r="AE4" s="6"/>
      <c r="AF4" s="6"/>
      <c r="AG4" s="5"/>
      <c r="AH4" s="5"/>
      <c r="AI4" s="6"/>
      <c r="AJ4" s="6"/>
      <c r="AK4">
        <f t="shared" si="0"/>
        <v>2</v>
      </c>
    </row>
    <row r="5" spans="1:37" x14ac:dyDescent="0.25">
      <c r="A5" s="10" t="str">
        <f>'E4-2016'!B5</f>
        <v>Ecole SORNAS</v>
      </c>
      <c r="B5" s="4" t="str">
        <f>'E4-2016'!D5</f>
        <v>0754101A</v>
      </c>
      <c r="C5" s="4" t="str">
        <f>'E4-2016'!E5</f>
        <v>SORN</v>
      </c>
      <c r="D5" s="4"/>
      <c r="E5" s="32"/>
      <c r="F5" s="33"/>
      <c r="G5" s="34">
        <v>1</v>
      </c>
      <c r="H5" s="34"/>
      <c r="I5" s="32">
        <v>1</v>
      </c>
      <c r="J5" s="33"/>
      <c r="K5" s="34">
        <v>1</v>
      </c>
      <c r="L5" s="34"/>
      <c r="M5" s="5"/>
      <c r="N5" s="5"/>
      <c r="O5" s="50"/>
      <c r="P5" s="50"/>
      <c r="Q5" s="32"/>
      <c r="R5" s="33"/>
      <c r="S5" s="34"/>
      <c r="T5" s="34"/>
      <c r="U5" s="5"/>
      <c r="V5" s="5"/>
      <c r="W5" s="6"/>
      <c r="X5" s="6"/>
      <c r="Y5" s="5"/>
      <c r="Z5" s="5"/>
      <c r="AA5" s="6"/>
      <c r="AB5" s="6"/>
      <c r="AC5" s="5"/>
      <c r="AD5" s="5"/>
      <c r="AE5" s="6"/>
      <c r="AF5" s="6"/>
      <c r="AG5" s="5"/>
      <c r="AH5" s="5"/>
      <c r="AI5" s="6"/>
      <c r="AJ5" s="6"/>
      <c r="AK5">
        <f t="shared" si="0"/>
        <v>3</v>
      </c>
    </row>
    <row r="6" spans="1:37" x14ac:dyDescent="0.25">
      <c r="A6" s="10" t="str">
        <f>'E4-2016'!B6</f>
        <v>ITIC</v>
      </c>
      <c r="B6" s="4" t="str">
        <f>'E4-2016'!D6</f>
        <v>0754440U</v>
      </c>
      <c r="C6" s="4" t="str">
        <f>'E4-2016'!E6</f>
        <v>ITIC</v>
      </c>
      <c r="D6" s="4"/>
      <c r="E6" s="32"/>
      <c r="F6" s="33"/>
      <c r="G6" s="34"/>
      <c r="H6" s="34"/>
      <c r="I6" s="32"/>
      <c r="J6" s="33"/>
      <c r="K6" s="34"/>
      <c r="L6" s="34"/>
      <c r="M6" s="32"/>
      <c r="N6" s="33"/>
      <c r="O6" s="51"/>
      <c r="P6" s="51"/>
      <c r="Q6" s="32">
        <v>2</v>
      </c>
      <c r="R6" s="33"/>
      <c r="S6" s="34">
        <v>2</v>
      </c>
      <c r="T6" s="34"/>
      <c r="U6" s="25">
        <v>2</v>
      </c>
      <c r="V6" s="26"/>
      <c r="W6" s="27">
        <v>1</v>
      </c>
      <c r="X6" s="27"/>
      <c r="Y6" s="25"/>
      <c r="Z6" s="26"/>
      <c r="AA6" s="27"/>
      <c r="AB6" s="27"/>
      <c r="AC6" s="5"/>
      <c r="AD6" s="5"/>
      <c r="AE6" s="6"/>
      <c r="AF6" s="6"/>
      <c r="AG6" s="5"/>
      <c r="AH6" s="5"/>
      <c r="AI6" s="6"/>
      <c r="AJ6" s="6"/>
      <c r="AK6">
        <f t="shared" si="0"/>
        <v>7</v>
      </c>
    </row>
    <row r="7" spans="1:37" x14ac:dyDescent="0.25">
      <c r="A7" s="10" t="str">
        <f>'E4-2016'!B7</f>
        <v>CFA CERFAL</v>
      </c>
      <c r="B7" s="4" t="str">
        <f>'E4-2016'!D7</f>
        <v>0754458N</v>
      </c>
      <c r="C7" s="4" t="str">
        <f>'E4-2016'!E7</f>
        <v>CERF</v>
      </c>
      <c r="D7" s="4"/>
      <c r="E7" s="25"/>
      <c r="F7" s="26"/>
      <c r="G7" s="27"/>
      <c r="H7" s="27"/>
      <c r="I7" s="25"/>
      <c r="J7" s="26"/>
      <c r="K7" s="27"/>
      <c r="L7" s="27"/>
      <c r="M7" s="25"/>
      <c r="N7" s="26"/>
      <c r="O7" s="49"/>
      <c r="P7" s="49"/>
      <c r="Q7" s="32"/>
      <c r="R7" s="33"/>
      <c r="S7" s="34"/>
      <c r="T7" s="34"/>
      <c r="U7" s="32"/>
      <c r="V7" s="33"/>
      <c r="W7" s="34"/>
      <c r="X7" s="34"/>
      <c r="Y7" s="32"/>
      <c r="Z7" s="33"/>
      <c r="AA7" s="34"/>
      <c r="AB7" s="34"/>
      <c r="AC7" s="32">
        <v>2</v>
      </c>
      <c r="AD7" s="33"/>
      <c r="AE7" s="34">
        <v>2</v>
      </c>
      <c r="AF7" s="34"/>
      <c r="AG7" s="32">
        <v>2</v>
      </c>
      <c r="AH7" s="33"/>
      <c r="AI7" s="34"/>
      <c r="AJ7" s="34"/>
      <c r="AK7">
        <f t="shared" si="0"/>
        <v>6</v>
      </c>
    </row>
    <row r="8" spans="1:37" x14ac:dyDescent="0.25">
      <c r="A8" s="10" t="str">
        <f>'E4-2016'!B8</f>
        <v>CFA SACEF</v>
      </c>
      <c r="B8" s="4" t="str">
        <f>'E4-2016'!D8</f>
        <v>0754679D</v>
      </c>
      <c r="C8" s="4" t="str">
        <f>'E4-2016'!E8</f>
        <v>SACE</v>
      </c>
      <c r="D8" s="4"/>
      <c r="E8" s="32"/>
      <c r="F8" s="33"/>
      <c r="G8" s="34"/>
      <c r="H8" s="34"/>
      <c r="I8" s="32"/>
      <c r="J8" s="33"/>
      <c r="K8" s="34"/>
      <c r="L8" s="34"/>
      <c r="M8" s="25"/>
      <c r="N8" s="26"/>
      <c r="O8" s="49"/>
      <c r="P8" s="49"/>
      <c r="Q8" s="5"/>
      <c r="R8" s="5"/>
      <c r="S8" s="6"/>
      <c r="T8" s="6"/>
      <c r="U8" s="5"/>
      <c r="V8" s="5"/>
      <c r="W8" s="6"/>
      <c r="X8" s="6"/>
      <c r="Y8" s="5"/>
      <c r="Z8" s="5"/>
      <c r="AA8" s="6"/>
      <c r="AB8" s="6"/>
      <c r="AC8" s="32"/>
      <c r="AD8" s="33"/>
      <c r="AE8" s="34"/>
      <c r="AF8" s="34"/>
      <c r="AG8" s="32">
        <v>1</v>
      </c>
      <c r="AH8" s="33"/>
      <c r="AI8" s="34">
        <v>1</v>
      </c>
      <c r="AJ8" s="34"/>
      <c r="AK8">
        <f t="shared" si="0"/>
        <v>2</v>
      </c>
    </row>
    <row r="9" spans="1:37" x14ac:dyDescent="0.25">
      <c r="A9" s="10" t="str">
        <f>'E4-2016'!B9</f>
        <v>GEFOR</v>
      </c>
      <c r="B9" s="4" t="str">
        <f>'E4-2016'!D9</f>
        <v>0755119G</v>
      </c>
      <c r="C9" s="4" t="str">
        <f>'E4-2016'!E9</f>
        <v>GEFO</v>
      </c>
      <c r="D9" s="4"/>
      <c r="E9" s="5"/>
      <c r="F9" s="5"/>
      <c r="G9" s="6"/>
      <c r="H9" s="6"/>
      <c r="I9" s="32"/>
      <c r="J9" s="33"/>
      <c r="K9" s="34"/>
      <c r="L9" s="34"/>
      <c r="M9" s="32"/>
      <c r="N9" s="33"/>
      <c r="O9" s="51"/>
      <c r="P9" s="51"/>
      <c r="Q9" s="32"/>
      <c r="R9" s="33"/>
      <c r="S9" s="34">
        <v>1</v>
      </c>
      <c r="T9" s="34"/>
      <c r="U9" s="25">
        <v>1</v>
      </c>
      <c r="V9" s="26"/>
      <c r="W9" s="27">
        <v>1</v>
      </c>
      <c r="X9" s="27"/>
      <c r="Y9" s="25">
        <v>1</v>
      </c>
      <c r="Z9" s="26"/>
      <c r="AA9" s="27">
        <v>1</v>
      </c>
      <c r="AB9" s="27"/>
      <c r="AC9" s="5"/>
      <c r="AD9" s="5"/>
      <c r="AE9" s="6"/>
      <c r="AF9" s="6"/>
      <c r="AG9" s="5"/>
      <c r="AH9" s="5"/>
      <c r="AI9" s="6"/>
      <c r="AJ9" s="6"/>
      <c r="AK9">
        <f t="shared" si="0"/>
        <v>5</v>
      </c>
    </row>
    <row r="10" spans="1:37" x14ac:dyDescent="0.25">
      <c r="A10" s="10" t="str">
        <f>'E4-2016'!B10</f>
        <v>CFA IMC</v>
      </c>
      <c r="B10" s="4" t="str">
        <f>'E4-2016'!D10</f>
        <v>0755197S</v>
      </c>
      <c r="C10" s="4" t="str">
        <f>'E4-2016'!E10</f>
        <v>IMC</v>
      </c>
      <c r="D10" s="4"/>
      <c r="E10" s="5"/>
      <c r="F10" s="5"/>
      <c r="G10" s="6"/>
      <c r="H10" s="6"/>
      <c r="I10" s="25"/>
      <c r="J10" s="26"/>
      <c r="K10" s="27"/>
      <c r="L10" s="27"/>
      <c r="M10" s="25"/>
      <c r="N10" s="26"/>
      <c r="O10" s="49"/>
      <c r="P10" s="49"/>
      <c r="Q10" s="25"/>
      <c r="R10" s="26"/>
      <c r="S10" s="27"/>
      <c r="T10" s="27"/>
      <c r="U10" s="32"/>
      <c r="V10" s="33"/>
      <c r="W10" s="34"/>
      <c r="X10" s="34"/>
      <c r="Y10" s="32">
        <v>1</v>
      </c>
      <c r="Z10" s="33"/>
      <c r="AA10" s="34">
        <v>1</v>
      </c>
      <c r="AB10" s="34"/>
      <c r="AC10" s="32">
        <v>1</v>
      </c>
      <c r="AD10" s="33"/>
      <c r="AE10" s="34">
        <v>1</v>
      </c>
      <c r="AF10" s="34"/>
      <c r="AG10" s="32"/>
      <c r="AH10" s="33"/>
      <c r="AI10" s="34"/>
      <c r="AJ10" s="34"/>
      <c r="AK10">
        <f t="shared" si="0"/>
        <v>4</v>
      </c>
    </row>
    <row r="11" spans="1:37" x14ac:dyDescent="0.25">
      <c r="A11" s="10" t="str">
        <f>'E4-2016'!B11</f>
        <v>INSTA</v>
      </c>
      <c r="B11" s="4" t="str">
        <f>'E4-2016'!D11</f>
        <v>0755294X</v>
      </c>
      <c r="C11" s="4" t="str">
        <f>'E4-2016'!E11</f>
        <v>INSTA</v>
      </c>
      <c r="D11" s="4"/>
      <c r="E11" s="32"/>
      <c r="F11" s="33"/>
      <c r="G11" s="34"/>
      <c r="H11" s="34"/>
      <c r="I11" s="32"/>
      <c r="J11" s="33"/>
      <c r="K11" s="34"/>
      <c r="L11" s="34"/>
      <c r="M11" s="32"/>
      <c r="N11" s="33"/>
      <c r="O11" s="51"/>
      <c r="P11" s="51"/>
      <c r="Q11" s="25"/>
      <c r="R11" s="26"/>
      <c r="S11" s="27"/>
      <c r="T11" s="27"/>
      <c r="U11" s="25"/>
      <c r="V11" s="26"/>
      <c r="W11" s="27"/>
      <c r="X11" s="27"/>
      <c r="Y11" s="25"/>
      <c r="Z11" s="26"/>
      <c r="AA11" s="27"/>
      <c r="AB11" s="27"/>
      <c r="AC11" s="5"/>
      <c r="AD11" s="5"/>
      <c r="AE11" s="6"/>
      <c r="AF11" s="6"/>
      <c r="AG11" s="5">
        <v>1</v>
      </c>
      <c r="AH11" s="5"/>
      <c r="AI11" s="6">
        <v>1</v>
      </c>
      <c r="AJ11" s="6"/>
      <c r="AK11">
        <f t="shared" si="0"/>
        <v>2</v>
      </c>
    </row>
    <row r="12" spans="1:37" x14ac:dyDescent="0.25">
      <c r="A12" s="10" t="str">
        <f>'E4-2016'!B12</f>
        <v>CFA INSTA</v>
      </c>
      <c r="B12" s="4" t="str">
        <f>'E4-2016'!D12</f>
        <v>0755432X</v>
      </c>
      <c r="C12" s="4" t="str">
        <f>'E4-2016'!E12</f>
        <v>CINST</v>
      </c>
      <c r="D12" s="4"/>
      <c r="E12" s="25"/>
      <c r="F12" s="26"/>
      <c r="G12" s="27"/>
      <c r="H12" s="27"/>
      <c r="I12" s="25"/>
      <c r="J12" s="26"/>
      <c r="K12" s="27"/>
      <c r="L12" s="27"/>
      <c r="M12" s="32"/>
      <c r="N12" s="33"/>
      <c r="O12" s="51"/>
      <c r="P12" s="51"/>
      <c r="Q12" s="32"/>
      <c r="R12" s="33"/>
      <c r="S12" s="34"/>
      <c r="T12" s="34"/>
      <c r="U12" s="32"/>
      <c r="V12" s="33"/>
      <c r="W12" s="34"/>
      <c r="X12" s="34"/>
      <c r="Y12" s="32">
        <v>2</v>
      </c>
      <c r="Z12" s="33"/>
      <c r="AA12" s="34">
        <v>2</v>
      </c>
      <c r="AB12" s="34"/>
      <c r="AC12" s="5">
        <v>2</v>
      </c>
      <c r="AD12" s="5"/>
      <c r="AE12" s="6">
        <v>2</v>
      </c>
      <c r="AF12" s="6"/>
      <c r="AG12" s="5">
        <v>2</v>
      </c>
      <c r="AH12" s="5"/>
      <c r="AI12" s="6">
        <v>2</v>
      </c>
      <c r="AJ12" s="6"/>
      <c r="AK12">
        <f t="shared" si="0"/>
        <v>12</v>
      </c>
    </row>
    <row r="13" spans="1:37" x14ac:dyDescent="0.25">
      <c r="A13" s="10" t="str">
        <f>'E4-2016'!B13</f>
        <v>Cours Privé Diderot Paris 11</v>
      </c>
      <c r="B13" s="4" t="str">
        <f>'E4-2016'!D13</f>
        <v>0755559K</v>
      </c>
      <c r="C13" s="4" t="str">
        <f>'E4-2016'!E13</f>
        <v>DID</v>
      </c>
      <c r="D13" s="4"/>
      <c r="E13" s="32"/>
      <c r="F13" s="33"/>
      <c r="G13" s="34"/>
      <c r="H13" s="34"/>
      <c r="I13" s="32"/>
      <c r="J13" s="33"/>
      <c r="K13" s="34"/>
      <c r="L13" s="34"/>
      <c r="M13" s="32"/>
      <c r="N13" s="33"/>
      <c r="O13" s="51"/>
      <c r="P13" s="51"/>
      <c r="Q13" s="32"/>
      <c r="R13" s="33"/>
      <c r="S13" s="34"/>
      <c r="T13" s="34"/>
      <c r="U13" s="32"/>
      <c r="V13" s="33"/>
      <c r="W13" s="34"/>
      <c r="X13" s="34"/>
      <c r="Y13" s="32"/>
      <c r="Z13" s="33"/>
      <c r="AA13" s="34"/>
      <c r="AB13" s="34"/>
      <c r="AC13" s="32"/>
      <c r="AD13" s="33"/>
      <c r="AE13" s="34"/>
      <c r="AF13" s="34"/>
      <c r="AG13" s="32"/>
      <c r="AH13" s="33"/>
      <c r="AI13" s="34">
        <v>1</v>
      </c>
      <c r="AJ13" s="34"/>
      <c r="AK13">
        <f t="shared" si="0"/>
        <v>1</v>
      </c>
    </row>
    <row r="14" spans="1:37" x14ac:dyDescent="0.25">
      <c r="A14" s="10" t="str">
        <f>'E4-2016'!B14</f>
        <v>ISMI</v>
      </c>
      <c r="B14" s="4" t="str">
        <f>'E4-2016'!D14</f>
        <v>0755577E</v>
      </c>
      <c r="C14" s="4" t="str">
        <f>'E4-2016'!E14</f>
        <v>ISMI</v>
      </c>
      <c r="D14" s="4"/>
      <c r="E14" s="32"/>
      <c r="F14" s="33"/>
      <c r="G14" s="34"/>
      <c r="H14" s="34"/>
      <c r="I14" s="32"/>
      <c r="J14" s="33"/>
      <c r="K14" s="34"/>
      <c r="L14" s="34"/>
      <c r="M14" s="32"/>
      <c r="N14" s="33"/>
      <c r="O14" s="51"/>
      <c r="P14" s="51"/>
      <c r="Q14" s="32"/>
      <c r="R14" s="33"/>
      <c r="S14" s="34"/>
      <c r="T14" s="34"/>
      <c r="U14" s="32"/>
      <c r="V14" s="33"/>
      <c r="W14" s="34"/>
      <c r="X14" s="34"/>
      <c r="Y14" s="5"/>
      <c r="Z14" s="5"/>
      <c r="AA14" s="6"/>
      <c r="AB14" s="6"/>
      <c r="AC14" s="5"/>
      <c r="AD14" s="5"/>
      <c r="AE14" s="6"/>
      <c r="AF14" s="6"/>
      <c r="AG14" s="5"/>
      <c r="AH14" s="5"/>
      <c r="AI14" s="6"/>
      <c r="AJ14" s="6"/>
      <c r="AK14">
        <f t="shared" si="0"/>
        <v>0</v>
      </c>
    </row>
    <row r="15" spans="1:37" x14ac:dyDescent="0.25">
      <c r="A15" s="10" t="str">
        <f>'E4-2016'!B15</f>
        <v>IPSSI</v>
      </c>
      <c r="B15" s="4" t="str">
        <f>'E4-2016'!D15</f>
        <v>0755724P</v>
      </c>
      <c r="C15" s="4" t="str">
        <f>'E4-2016'!E15</f>
        <v>IPSS</v>
      </c>
      <c r="D15" s="4"/>
      <c r="E15" s="32"/>
      <c r="F15" s="33"/>
      <c r="G15" s="34"/>
      <c r="H15" s="34"/>
      <c r="I15" s="32"/>
      <c r="J15" s="33"/>
      <c r="K15" s="34"/>
      <c r="L15" s="34"/>
      <c r="M15" s="32"/>
      <c r="N15" s="33"/>
      <c r="O15" s="87">
        <v>2</v>
      </c>
      <c r="P15" s="51"/>
      <c r="Q15" s="32">
        <v>2</v>
      </c>
      <c r="R15" s="33"/>
      <c r="S15" s="34">
        <v>2</v>
      </c>
      <c r="T15" s="34"/>
      <c r="U15" s="25">
        <v>2</v>
      </c>
      <c r="V15" s="26"/>
      <c r="W15" s="27">
        <v>2</v>
      </c>
      <c r="X15" s="27"/>
      <c r="Y15" s="25">
        <v>2</v>
      </c>
      <c r="Z15" s="26"/>
      <c r="AA15" s="27">
        <v>2</v>
      </c>
      <c r="AB15" s="27"/>
      <c r="AC15" s="5">
        <v>2</v>
      </c>
      <c r="AD15" s="5"/>
      <c r="AE15" s="6"/>
      <c r="AF15" s="6"/>
      <c r="AG15" s="5"/>
      <c r="AH15" s="5"/>
      <c r="AI15" s="6"/>
      <c r="AJ15" s="6"/>
      <c r="AK15">
        <f t="shared" si="0"/>
        <v>16</v>
      </c>
    </row>
    <row r="16" spans="1:37" x14ac:dyDescent="0.25">
      <c r="A16" s="10" t="str">
        <f>'E4-2016'!B16</f>
        <v>IRIS</v>
      </c>
      <c r="B16" s="4" t="str">
        <f>'E4-2016'!D16</f>
        <v>0755748R</v>
      </c>
      <c r="C16" s="4" t="str">
        <f>'E4-2016'!E16</f>
        <v>IRIS</v>
      </c>
      <c r="D16" s="4"/>
      <c r="E16" s="32">
        <v>3</v>
      </c>
      <c r="F16" s="33"/>
      <c r="G16" s="34">
        <v>3</v>
      </c>
      <c r="H16" s="34"/>
      <c r="I16" s="32">
        <v>3</v>
      </c>
      <c r="J16" s="33"/>
      <c r="K16" s="34">
        <v>3</v>
      </c>
      <c r="L16" s="34"/>
      <c r="M16" s="32">
        <v>2</v>
      </c>
      <c r="N16" s="33"/>
      <c r="O16" s="87">
        <v>2</v>
      </c>
      <c r="P16" s="51"/>
      <c r="Q16" s="32">
        <v>2</v>
      </c>
      <c r="R16" s="33"/>
      <c r="S16" s="34">
        <v>2</v>
      </c>
      <c r="T16" s="34"/>
      <c r="U16" s="32">
        <v>2</v>
      </c>
      <c r="V16" s="33"/>
      <c r="W16" s="34">
        <v>2</v>
      </c>
      <c r="X16" s="34"/>
      <c r="Y16" s="32">
        <v>2</v>
      </c>
      <c r="Z16" s="33"/>
      <c r="AA16" s="34">
        <v>2</v>
      </c>
      <c r="AB16" s="34"/>
      <c r="AC16" s="5">
        <v>2</v>
      </c>
      <c r="AD16" s="5"/>
      <c r="AE16" s="6">
        <v>2</v>
      </c>
      <c r="AF16" s="6"/>
      <c r="AG16" s="5">
        <v>2</v>
      </c>
      <c r="AH16" s="5"/>
      <c r="AI16" s="6">
        <v>2</v>
      </c>
      <c r="AJ16" s="6"/>
      <c r="AK16">
        <f t="shared" si="0"/>
        <v>36</v>
      </c>
    </row>
    <row r="17" spans="1:37" x14ac:dyDescent="0.25">
      <c r="A17" s="10" t="str">
        <f>'E4-2016'!B17</f>
        <v>APEP SUP</v>
      </c>
      <c r="B17" s="4" t="str">
        <f>'E4-2016'!D17</f>
        <v>0755775V</v>
      </c>
      <c r="C17" s="4" t="str">
        <f>'E4-2016'!E17</f>
        <v>APEP</v>
      </c>
      <c r="D17" s="4"/>
      <c r="E17" s="32"/>
      <c r="F17" s="33"/>
      <c r="G17" s="34"/>
      <c r="H17" s="34"/>
      <c r="I17" s="32"/>
      <c r="J17" s="33"/>
      <c r="K17" s="34"/>
      <c r="L17" s="34"/>
      <c r="M17" s="32"/>
      <c r="N17" s="33"/>
      <c r="O17" s="51"/>
      <c r="P17" s="51"/>
      <c r="Q17" s="32"/>
      <c r="R17" s="33"/>
      <c r="S17" s="34"/>
      <c r="T17" s="34"/>
      <c r="U17" s="32"/>
      <c r="V17" s="33"/>
      <c r="W17" s="34"/>
      <c r="X17" s="34"/>
      <c r="Y17" s="32"/>
      <c r="Z17" s="33"/>
      <c r="AA17" s="34"/>
      <c r="AB17" s="34"/>
      <c r="AC17" s="32"/>
      <c r="AD17" s="33"/>
      <c r="AE17" s="34">
        <v>2</v>
      </c>
      <c r="AF17" s="34"/>
      <c r="AG17" s="32">
        <v>2</v>
      </c>
      <c r="AH17" s="33"/>
      <c r="AI17" s="34">
        <v>2</v>
      </c>
      <c r="AJ17" s="34"/>
      <c r="AK17">
        <f t="shared" si="0"/>
        <v>6</v>
      </c>
    </row>
    <row r="18" spans="1:37" x14ac:dyDescent="0.25">
      <c r="A18" s="10" t="str">
        <f>'E4-2016'!B18</f>
        <v>ADG</v>
      </c>
      <c r="B18" s="4" t="str">
        <f>'E4-2016'!D18</f>
        <v>0755827B</v>
      </c>
      <c r="C18" s="4" t="str">
        <f>'E4-2016'!E18</f>
        <v>ADG</v>
      </c>
      <c r="D18" s="4"/>
      <c r="E18" s="32"/>
      <c r="F18" s="33"/>
      <c r="G18" s="34"/>
      <c r="H18" s="34"/>
      <c r="I18" s="32"/>
      <c r="J18" s="33"/>
      <c r="K18" s="34"/>
      <c r="L18" s="34"/>
      <c r="M18" s="32"/>
      <c r="N18" s="33"/>
      <c r="O18" s="51"/>
      <c r="P18" s="51"/>
      <c r="Q18" s="32"/>
      <c r="R18" s="33"/>
      <c r="S18" s="34"/>
      <c r="T18" s="34"/>
      <c r="U18" s="32"/>
      <c r="V18" s="33"/>
      <c r="W18" s="34"/>
      <c r="X18" s="34"/>
      <c r="Y18" s="32"/>
      <c r="Z18" s="33"/>
      <c r="AA18" s="34"/>
      <c r="AB18" s="34"/>
      <c r="AC18" s="5"/>
      <c r="AD18" s="5"/>
      <c r="AE18" s="6">
        <v>1</v>
      </c>
      <c r="AF18" s="6"/>
      <c r="AG18" s="5">
        <v>1</v>
      </c>
      <c r="AH18" s="5"/>
      <c r="AI18" s="6">
        <v>1</v>
      </c>
      <c r="AJ18" s="6"/>
      <c r="AK18">
        <f t="shared" si="0"/>
        <v>3</v>
      </c>
    </row>
    <row r="19" spans="1:37" x14ac:dyDescent="0.25">
      <c r="A19" s="10" t="str">
        <f>'E4-2016'!B19</f>
        <v>INSTA Paris</v>
      </c>
      <c r="B19" s="4" t="str">
        <f>'E4-2016'!D19</f>
        <v>0755931P</v>
      </c>
      <c r="C19" s="4" t="str">
        <f>'E4-2016'!E19</f>
        <v>INST</v>
      </c>
      <c r="D19" s="4"/>
      <c r="E19" s="32"/>
      <c r="F19" s="33"/>
      <c r="G19" s="34"/>
      <c r="H19" s="34"/>
      <c r="I19" s="32"/>
      <c r="J19" s="33"/>
      <c r="K19" s="34"/>
      <c r="L19" s="34"/>
      <c r="M19" s="32"/>
      <c r="N19" s="33"/>
      <c r="O19" s="51"/>
      <c r="P19" s="51"/>
      <c r="Q19" s="32"/>
      <c r="R19" s="33"/>
      <c r="S19" s="34"/>
      <c r="T19" s="34"/>
      <c r="U19" s="25">
        <v>1</v>
      </c>
      <c r="V19" s="26"/>
      <c r="W19" s="27">
        <v>2</v>
      </c>
      <c r="X19" s="27"/>
      <c r="Y19" s="25">
        <v>2</v>
      </c>
      <c r="Z19" s="26"/>
      <c r="AA19" s="27">
        <v>2</v>
      </c>
      <c r="AB19" s="27"/>
      <c r="AC19" s="5">
        <v>2</v>
      </c>
      <c r="AD19" s="5"/>
      <c r="AE19" s="6"/>
      <c r="AF19" s="6"/>
      <c r="AG19" s="5"/>
      <c r="AH19" s="5"/>
      <c r="AI19" s="6"/>
      <c r="AJ19" s="6"/>
      <c r="AK19">
        <f t="shared" si="0"/>
        <v>9</v>
      </c>
    </row>
    <row r="20" spans="1:37" x14ac:dyDescent="0.25">
      <c r="A20" s="10" t="str">
        <f>'E4-2016'!B20</f>
        <v>INGETIS Paris</v>
      </c>
      <c r="B20" s="4" t="str">
        <f>'E4-2016'!D20</f>
        <v>0755934T</v>
      </c>
      <c r="C20" s="4" t="str">
        <f>'E4-2016'!E20</f>
        <v>INGT</v>
      </c>
      <c r="D20" s="4"/>
      <c r="E20" s="32">
        <v>2</v>
      </c>
      <c r="F20" s="33"/>
      <c r="G20" s="34">
        <v>2</v>
      </c>
      <c r="H20" s="34"/>
      <c r="I20" s="32">
        <v>2</v>
      </c>
      <c r="J20" s="33"/>
      <c r="K20" s="34">
        <v>2</v>
      </c>
      <c r="L20" s="34"/>
      <c r="M20" s="5">
        <v>1</v>
      </c>
      <c r="N20" s="5"/>
      <c r="O20" s="50"/>
      <c r="P20" s="50"/>
      <c r="Q20" s="32"/>
      <c r="R20" s="33"/>
      <c r="S20" s="34"/>
      <c r="T20" s="34"/>
      <c r="U20" s="32"/>
      <c r="V20" s="33"/>
      <c r="W20" s="34"/>
      <c r="X20" s="34"/>
      <c r="Y20" s="25"/>
      <c r="Z20" s="26"/>
      <c r="AA20" s="27"/>
      <c r="AB20" s="27"/>
      <c r="AC20" s="5"/>
      <c r="AD20" s="5"/>
      <c r="AE20" s="6"/>
      <c r="AF20" s="6"/>
      <c r="AG20" s="5"/>
      <c r="AH20" s="5"/>
      <c r="AI20" s="6"/>
      <c r="AJ20" s="6"/>
      <c r="AK20">
        <f t="shared" si="0"/>
        <v>9</v>
      </c>
    </row>
    <row r="21" spans="1:37" x14ac:dyDescent="0.25">
      <c r="A21" s="10" t="str">
        <f>'E4-2016'!B21</f>
        <v>SCHOLA NOVA</v>
      </c>
      <c r="B21" s="4" t="str">
        <f>'E4-2016'!D21</f>
        <v>0756002S</v>
      </c>
      <c r="C21" s="4" t="str">
        <f>'E4-2016'!E21</f>
        <v>SCHN</v>
      </c>
      <c r="D21" s="4"/>
      <c r="E21" s="5"/>
      <c r="F21" s="5"/>
      <c r="G21" s="6"/>
      <c r="H21" s="6"/>
      <c r="I21" s="5"/>
      <c r="J21" s="5"/>
      <c r="K21" s="6"/>
      <c r="L21" s="6"/>
      <c r="M21" s="32">
        <v>1</v>
      </c>
      <c r="N21" s="33"/>
      <c r="O21" s="51"/>
      <c r="P21" s="51"/>
      <c r="Q21" s="32"/>
      <c r="R21" s="33"/>
      <c r="S21" s="34"/>
      <c r="T21" s="34"/>
      <c r="U21" s="5"/>
      <c r="V21" s="5"/>
      <c r="W21" s="6"/>
      <c r="X21" s="6"/>
      <c r="Y21" s="5"/>
      <c r="Z21" s="5"/>
      <c r="AA21" s="6"/>
      <c r="AB21" s="6"/>
      <c r="AC21" s="5"/>
      <c r="AD21" s="5"/>
      <c r="AE21" s="6">
        <v>1</v>
      </c>
      <c r="AF21" s="6"/>
      <c r="AG21" s="32">
        <v>1</v>
      </c>
      <c r="AH21" s="33"/>
      <c r="AI21" s="34">
        <v>1</v>
      </c>
      <c r="AJ21" s="34"/>
      <c r="AK21">
        <f t="shared" si="0"/>
        <v>4</v>
      </c>
    </row>
    <row r="22" spans="1:37" x14ac:dyDescent="0.25">
      <c r="A22" s="10" t="str">
        <f>'E4-2016'!B22</f>
        <v>EUROFORMA</v>
      </c>
      <c r="B22" s="4" t="str">
        <f>'E4-2016'!D22</f>
        <v>0756015F</v>
      </c>
      <c r="C22" s="4" t="str">
        <f>'E4-2016'!E22</f>
        <v>EURO</v>
      </c>
      <c r="D22" s="4"/>
      <c r="E22" s="25"/>
      <c r="F22" s="26"/>
      <c r="G22" s="27"/>
      <c r="H22" s="27"/>
      <c r="I22" s="25"/>
      <c r="J22" s="26"/>
      <c r="K22" s="27"/>
      <c r="L22" s="27"/>
      <c r="M22" s="25"/>
      <c r="N22" s="26"/>
      <c r="O22" s="49"/>
      <c r="P22" s="49"/>
      <c r="Q22" s="5"/>
      <c r="R22" s="5"/>
      <c r="S22" s="6"/>
      <c r="T22" s="6"/>
      <c r="U22" s="32"/>
      <c r="V22" s="33"/>
      <c r="W22" s="34"/>
      <c r="X22" s="34"/>
      <c r="Y22" s="32"/>
      <c r="Z22" s="33"/>
      <c r="AA22" s="34"/>
      <c r="AB22" s="34"/>
      <c r="AC22" s="32"/>
      <c r="AD22" s="33"/>
      <c r="AE22" s="34"/>
      <c r="AF22" s="34"/>
      <c r="AG22" s="5"/>
      <c r="AH22" s="5"/>
      <c r="AI22" s="6">
        <v>1</v>
      </c>
      <c r="AJ22" s="6"/>
      <c r="AK22">
        <f t="shared" si="0"/>
        <v>1</v>
      </c>
    </row>
    <row r="23" spans="1:37" x14ac:dyDescent="0.25">
      <c r="A23" s="10" t="str">
        <f>'E4-2016'!B23</f>
        <v>IMCP Paris</v>
      </c>
      <c r="B23" s="4" t="str">
        <f>'E4-2016'!D23</f>
        <v>0756241B</v>
      </c>
      <c r="C23" s="4" t="str">
        <f>'E4-2016'!E23</f>
        <v>IMCP</v>
      </c>
      <c r="D23" s="4"/>
      <c r="E23" s="32"/>
      <c r="F23" s="33"/>
      <c r="G23" s="34"/>
      <c r="H23" s="34"/>
      <c r="I23" s="5"/>
      <c r="J23" s="5"/>
      <c r="K23" s="6"/>
      <c r="L23" s="6"/>
      <c r="M23" s="32">
        <v>1</v>
      </c>
      <c r="N23" s="33"/>
      <c r="O23" s="87">
        <v>1</v>
      </c>
      <c r="P23" s="51"/>
      <c r="Q23" s="32">
        <v>1</v>
      </c>
      <c r="R23" s="33"/>
      <c r="S23" s="34"/>
      <c r="T23" s="34"/>
      <c r="U23" s="25"/>
      <c r="V23" s="26"/>
      <c r="W23" s="27"/>
      <c r="X23" s="27"/>
      <c r="Y23" s="25"/>
      <c r="Z23" s="26"/>
      <c r="AA23" s="27"/>
      <c r="AB23" s="27"/>
      <c r="AC23" s="5"/>
      <c r="AD23" s="5"/>
      <c r="AE23" s="6"/>
      <c r="AF23" s="6"/>
      <c r="AG23" s="5"/>
      <c r="AH23" s="5"/>
      <c r="AI23" s="6"/>
      <c r="AJ23" s="6"/>
      <c r="AK23">
        <f t="shared" si="0"/>
        <v>3</v>
      </c>
    </row>
    <row r="24" spans="1:37" x14ac:dyDescent="0.25">
      <c r="A24" s="10" t="str">
        <f>'E4-2016'!B24</f>
        <v>CFA ISW EDUCATION</v>
      </c>
      <c r="B24" s="4" t="str">
        <f>'E4-2016'!D24</f>
        <v>0756351W</v>
      </c>
      <c r="C24" s="4" t="str">
        <f>'E4-2016'!E24</f>
        <v>ISW</v>
      </c>
      <c r="D24" s="4"/>
      <c r="E24" s="32"/>
      <c r="F24" s="33"/>
      <c r="G24" s="34"/>
      <c r="H24" s="34"/>
      <c r="I24" s="32"/>
      <c r="J24" s="33"/>
      <c r="K24" s="34"/>
      <c r="L24" s="34"/>
      <c r="M24" s="32"/>
      <c r="N24" s="33"/>
      <c r="O24" s="51"/>
      <c r="P24" s="51"/>
      <c r="Q24" s="32"/>
      <c r="R24" s="33"/>
      <c r="S24" s="34">
        <v>1</v>
      </c>
      <c r="T24" s="34"/>
      <c r="U24" s="32">
        <v>1</v>
      </c>
      <c r="V24" s="33"/>
      <c r="W24" s="34">
        <v>1</v>
      </c>
      <c r="X24" s="34"/>
      <c r="Y24" s="32"/>
      <c r="Z24" s="33"/>
      <c r="AA24" s="34"/>
      <c r="AB24" s="34"/>
      <c r="AC24" s="5"/>
      <c r="AD24" s="5"/>
      <c r="AE24" s="6"/>
      <c r="AF24" s="6"/>
      <c r="AG24" s="5"/>
      <c r="AH24" s="5"/>
      <c r="AI24" s="6"/>
      <c r="AJ24" s="6"/>
      <c r="AK24">
        <f t="shared" si="0"/>
        <v>3</v>
      </c>
    </row>
    <row r="25" spans="1:37" x14ac:dyDescent="0.25">
      <c r="A25" s="31" t="str">
        <f>'E4-2016'!B25</f>
        <v>Lycee Jacques Prevert</v>
      </c>
      <c r="B25" s="4" t="str">
        <f>'E4-2016'!D25</f>
        <v>0771997C</v>
      </c>
      <c r="C25" s="4" t="str">
        <f>'E4-2016'!E25</f>
        <v>COMBS</v>
      </c>
      <c r="D25" s="4"/>
      <c r="E25" s="32">
        <v>1</v>
      </c>
      <c r="F25" s="33"/>
      <c r="G25" s="34">
        <v>1</v>
      </c>
      <c r="H25" s="34"/>
      <c r="I25" s="32">
        <v>1</v>
      </c>
      <c r="J25" s="33"/>
      <c r="K25" s="34">
        <v>1</v>
      </c>
      <c r="L25" s="34"/>
      <c r="M25" s="32"/>
      <c r="N25" s="33"/>
      <c r="O25" s="51"/>
      <c r="P25" s="51"/>
      <c r="Q25" s="25"/>
      <c r="R25" s="26"/>
      <c r="S25" s="27"/>
      <c r="T25" s="27"/>
      <c r="U25" s="32"/>
      <c r="V25" s="33"/>
      <c r="W25" s="34"/>
      <c r="X25" s="34"/>
      <c r="Y25" s="32"/>
      <c r="Z25" s="33"/>
      <c r="AA25" s="34"/>
      <c r="AB25" s="34"/>
      <c r="AC25" s="32"/>
      <c r="AD25" s="33"/>
      <c r="AE25" s="34"/>
      <c r="AF25" s="34"/>
      <c r="AG25" s="5"/>
      <c r="AH25" s="5"/>
      <c r="AI25" s="6"/>
      <c r="AJ25" s="6"/>
      <c r="AK25">
        <f t="shared" si="0"/>
        <v>4</v>
      </c>
    </row>
    <row r="26" spans="1:37" x14ac:dyDescent="0.25">
      <c r="A26" s="10" t="str">
        <f>'E4-2016'!B26</f>
        <v>Educatel 77</v>
      </c>
      <c r="B26" s="4" t="str">
        <f>'E4-2016'!D26</f>
        <v>077203SB</v>
      </c>
      <c r="C26" s="4" t="str">
        <f>'E4-2016'!E26</f>
        <v>ED77</v>
      </c>
      <c r="D26" s="4"/>
      <c r="E26" s="32"/>
      <c r="F26" s="33"/>
      <c r="G26" s="34"/>
      <c r="H26" s="34"/>
      <c r="I26" s="32"/>
      <c r="J26" s="33"/>
      <c r="K26" s="34"/>
      <c r="L26" s="34"/>
      <c r="M26" s="32"/>
      <c r="N26" s="33"/>
      <c r="O26" s="51"/>
      <c r="P26" s="51"/>
      <c r="Q26" s="32"/>
      <c r="R26" s="33"/>
      <c r="S26" s="34"/>
      <c r="T26" s="34"/>
      <c r="U26" s="5"/>
      <c r="V26" s="5"/>
      <c r="W26" s="6"/>
      <c r="X26" s="6"/>
      <c r="Y26" s="5"/>
      <c r="Z26" s="5"/>
      <c r="AA26" s="6"/>
      <c r="AB26" s="6"/>
      <c r="AC26" s="5"/>
      <c r="AD26" s="5"/>
      <c r="AE26" s="6"/>
      <c r="AF26" s="6"/>
      <c r="AG26" s="5"/>
      <c r="AH26" s="5"/>
      <c r="AI26" s="6"/>
      <c r="AJ26" s="6"/>
      <c r="AK26">
        <f t="shared" si="0"/>
        <v>0</v>
      </c>
    </row>
    <row r="27" spans="1:37" x14ac:dyDescent="0.25">
      <c r="A27" s="10" t="str">
        <f>'E4-2016'!B27</f>
        <v>lycee Rene Descartes</v>
      </c>
      <c r="B27" s="4" t="str">
        <f>'E4-2016'!D27</f>
        <v>0772223Y</v>
      </c>
      <c r="C27" s="4" t="str">
        <f>'E4-2016'!E27</f>
        <v>CHAM</v>
      </c>
      <c r="D27" s="4"/>
      <c r="E27" s="5"/>
      <c r="F27" s="5"/>
      <c r="G27" s="6"/>
      <c r="H27" s="6"/>
      <c r="I27" s="5"/>
      <c r="J27" s="5"/>
      <c r="K27" s="6"/>
      <c r="L27" s="6"/>
      <c r="M27" s="5">
        <v>2</v>
      </c>
      <c r="N27" s="5"/>
      <c r="O27" s="86">
        <v>2</v>
      </c>
      <c r="P27" s="50"/>
      <c r="Q27" s="25">
        <v>2</v>
      </c>
      <c r="R27" s="26"/>
      <c r="S27" s="27">
        <v>2</v>
      </c>
      <c r="T27" s="27"/>
      <c r="U27" s="32">
        <v>2</v>
      </c>
      <c r="V27" s="33"/>
      <c r="W27" s="34">
        <v>2</v>
      </c>
      <c r="X27" s="34"/>
      <c r="Y27" s="32">
        <v>2</v>
      </c>
      <c r="Z27" s="33"/>
      <c r="AA27" s="34">
        <v>2</v>
      </c>
      <c r="AB27" s="34"/>
      <c r="AC27" s="5">
        <v>2</v>
      </c>
      <c r="AD27" s="5"/>
      <c r="AE27" s="6">
        <v>2</v>
      </c>
      <c r="AF27" s="6"/>
      <c r="AG27" s="5">
        <v>2</v>
      </c>
      <c r="AH27" s="5"/>
      <c r="AI27" s="6">
        <v>2</v>
      </c>
      <c r="AJ27" s="6"/>
      <c r="AK27">
        <f t="shared" si="0"/>
        <v>24</v>
      </c>
    </row>
    <row r="28" spans="1:37" ht="15.75" x14ac:dyDescent="0.25">
      <c r="A28" s="13" t="str">
        <f>'E4-2016'!B28</f>
        <v>EMSCA</v>
      </c>
      <c r="B28" s="4" t="str">
        <f>'E4-2016'!D28</f>
        <v>0772893B</v>
      </c>
      <c r="C28" s="4" t="str">
        <f>'E4-2016'!E28</f>
        <v>EMSC</v>
      </c>
      <c r="D28" s="4"/>
      <c r="E28" s="32"/>
      <c r="F28" s="33"/>
      <c r="G28" s="34"/>
      <c r="H28" s="34"/>
      <c r="I28" s="32"/>
      <c r="J28" s="33"/>
      <c r="K28" s="34"/>
      <c r="L28" s="34"/>
      <c r="M28" s="32">
        <v>1</v>
      </c>
      <c r="N28" s="33"/>
      <c r="O28" s="87">
        <v>1</v>
      </c>
      <c r="P28" s="51"/>
      <c r="Q28" s="25"/>
      <c r="R28" s="26"/>
      <c r="S28" s="27"/>
      <c r="T28" s="27"/>
      <c r="U28" s="25"/>
      <c r="V28" s="26"/>
      <c r="W28" s="27"/>
      <c r="X28" s="27"/>
      <c r="Y28" s="25"/>
      <c r="Z28" s="26"/>
      <c r="AA28" s="27"/>
      <c r="AB28" s="27"/>
      <c r="AC28" s="5"/>
      <c r="AD28" s="5"/>
      <c r="AE28" s="6"/>
      <c r="AF28" s="6"/>
      <c r="AG28" s="5"/>
      <c r="AH28" s="5"/>
      <c r="AI28" s="6"/>
      <c r="AJ28" s="6"/>
      <c r="AK28">
        <f t="shared" si="0"/>
        <v>2</v>
      </c>
    </row>
    <row r="29" spans="1:37" x14ac:dyDescent="0.25">
      <c r="A29" s="10" t="str">
        <f>'E4-2016'!B29</f>
        <v>H3C Campus Poissy</v>
      </c>
      <c r="B29" s="4" t="str">
        <f>'E4-2016'!D29</f>
        <v>0781858W</v>
      </c>
      <c r="C29" s="4" t="str">
        <f>'E4-2016'!E29</f>
        <v>H3C</v>
      </c>
      <c r="D29" s="4"/>
      <c r="E29" s="25">
        <v>2</v>
      </c>
      <c r="F29" s="26"/>
      <c r="G29" s="27">
        <v>2</v>
      </c>
      <c r="H29" s="27"/>
      <c r="I29" s="25">
        <v>2</v>
      </c>
      <c r="J29" s="26"/>
      <c r="K29" s="27">
        <v>1</v>
      </c>
      <c r="L29" s="27"/>
      <c r="M29" s="25"/>
      <c r="N29" s="26"/>
      <c r="O29" s="49"/>
      <c r="P29" s="49"/>
      <c r="Q29" s="25"/>
      <c r="R29" s="26"/>
      <c r="S29" s="27"/>
      <c r="T29" s="27"/>
      <c r="U29" s="25"/>
      <c r="V29" s="26"/>
      <c r="W29" s="27"/>
      <c r="X29" s="27"/>
      <c r="Y29" s="32"/>
      <c r="Z29" s="33"/>
      <c r="AA29" s="34"/>
      <c r="AB29" s="34"/>
      <c r="AC29" s="32"/>
      <c r="AD29" s="33"/>
      <c r="AE29" s="34"/>
      <c r="AF29" s="34"/>
      <c r="AG29" s="32"/>
      <c r="AH29" s="33"/>
      <c r="AI29" s="34"/>
      <c r="AJ29" s="34"/>
      <c r="AK29">
        <f t="shared" si="0"/>
        <v>7</v>
      </c>
    </row>
    <row r="30" spans="1:37" x14ac:dyDescent="0.25">
      <c r="A30" s="10" t="str">
        <f>'E4-2016'!B30</f>
        <v>ENSUP CGSAT</v>
      </c>
      <c r="B30" s="4" t="str">
        <f>'E4-2016'!D30</f>
        <v>0783545E</v>
      </c>
      <c r="C30" s="4" t="str">
        <f>'E4-2016'!E30</f>
        <v>CGS</v>
      </c>
      <c r="D30" s="4"/>
      <c r="E30" s="5"/>
      <c r="F30" s="5"/>
      <c r="G30" s="6"/>
      <c r="H30" s="6"/>
      <c r="I30" s="5"/>
      <c r="J30" s="5"/>
      <c r="K30" s="6"/>
      <c r="L30" s="6"/>
      <c r="M30" s="5"/>
      <c r="N30" s="5"/>
      <c r="O30" s="86">
        <v>2</v>
      </c>
      <c r="P30" s="50"/>
      <c r="Q30" s="32">
        <v>2</v>
      </c>
      <c r="R30" s="33"/>
      <c r="S30" s="34">
        <v>2</v>
      </c>
      <c r="T30" s="34"/>
      <c r="U30" s="32">
        <v>2</v>
      </c>
      <c r="V30" s="33"/>
      <c r="W30" s="34">
        <v>1</v>
      </c>
      <c r="X30" s="34"/>
      <c r="Y30" s="32"/>
      <c r="Z30" s="33"/>
      <c r="AA30" s="34"/>
      <c r="AB30" s="34"/>
      <c r="AC30" s="5"/>
      <c r="AD30" s="5"/>
      <c r="AE30" s="6"/>
      <c r="AF30" s="6"/>
      <c r="AG30" s="5"/>
      <c r="AH30" s="5"/>
      <c r="AI30" s="6"/>
      <c r="AJ30" s="6"/>
      <c r="AK30">
        <f t="shared" si="0"/>
        <v>9</v>
      </c>
    </row>
    <row r="31" spans="1:37" x14ac:dyDescent="0.25">
      <c r="A31" s="10" t="str">
        <f>'E4-2016'!B31</f>
        <v>Lycee Geoffroy Saint Hilaire</v>
      </c>
      <c r="B31" s="4" t="str">
        <f>'E4-2016'!D31</f>
        <v>0910622G</v>
      </c>
      <c r="C31" s="4" t="str">
        <f>'E4-2016'!E31</f>
        <v>LAN</v>
      </c>
      <c r="D31" s="4"/>
      <c r="E31" s="32"/>
      <c r="F31" s="33"/>
      <c r="G31" s="34"/>
      <c r="H31" s="34"/>
      <c r="I31" s="32"/>
      <c r="J31" s="33"/>
      <c r="K31" s="34"/>
      <c r="L31" s="34"/>
      <c r="M31" s="32">
        <v>2</v>
      </c>
      <c r="N31" s="33"/>
      <c r="O31" s="87">
        <v>2</v>
      </c>
      <c r="P31" s="51"/>
      <c r="Q31" s="25">
        <v>2</v>
      </c>
      <c r="R31" s="26"/>
      <c r="S31" s="27">
        <v>2</v>
      </c>
      <c r="T31" s="27"/>
      <c r="U31" s="32">
        <v>2</v>
      </c>
      <c r="V31" s="33"/>
      <c r="W31" s="34">
        <v>2</v>
      </c>
      <c r="X31" s="34"/>
      <c r="Y31" s="32">
        <v>2</v>
      </c>
      <c r="Z31" s="33"/>
      <c r="AA31" s="34">
        <v>2</v>
      </c>
      <c r="AB31" s="34"/>
      <c r="AC31" s="5">
        <v>2</v>
      </c>
      <c r="AD31" s="5"/>
      <c r="AE31" s="6">
        <v>2</v>
      </c>
      <c r="AF31" s="6"/>
      <c r="AG31" s="5">
        <v>2</v>
      </c>
      <c r="AH31" s="5"/>
      <c r="AI31" s="6">
        <v>2</v>
      </c>
      <c r="AJ31" s="6"/>
      <c r="AK31">
        <f t="shared" si="0"/>
        <v>24</v>
      </c>
    </row>
    <row r="32" spans="1:37" x14ac:dyDescent="0.25">
      <c r="A32" s="10" t="str">
        <f>'E4-2016'!B32</f>
        <v>ITIS</v>
      </c>
      <c r="B32" s="4" t="str">
        <f>'E4-2016'!D32</f>
        <v>0911864G</v>
      </c>
      <c r="C32" s="4" t="str">
        <f>'E4-2016'!E32</f>
        <v>ITIS</v>
      </c>
      <c r="D32" s="4"/>
      <c r="E32" s="25">
        <v>2</v>
      </c>
      <c r="F32" s="26"/>
      <c r="G32" s="27">
        <v>2</v>
      </c>
      <c r="H32" s="27"/>
      <c r="I32" s="25">
        <v>2</v>
      </c>
      <c r="J32" s="26"/>
      <c r="K32" s="27">
        <v>1</v>
      </c>
      <c r="L32" s="27"/>
      <c r="M32" s="5"/>
      <c r="N32" s="5"/>
      <c r="O32" s="50"/>
      <c r="P32" s="50"/>
      <c r="Q32" s="32"/>
      <c r="R32" s="33"/>
      <c r="S32" s="34"/>
      <c r="T32" s="34"/>
      <c r="U32" s="32"/>
      <c r="V32" s="33"/>
      <c r="W32" s="34"/>
      <c r="X32" s="34"/>
      <c r="Y32" s="32"/>
      <c r="Z32" s="33"/>
      <c r="AA32" s="34"/>
      <c r="AB32" s="34"/>
      <c r="AC32" s="5"/>
      <c r="AD32" s="5"/>
      <c r="AE32" s="6"/>
      <c r="AF32" s="6"/>
      <c r="AG32" s="32"/>
      <c r="AH32" s="33"/>
      <c r="AI32" s="34"/>
      <c r="AJ32" s="34"/>
      <c r="AK32">
        <f t="shared" si="0"/>
        <v>7</v>
      </c>
    </row>
    <row r="33" spans="1:37" x14ac:dyDescent="0.25">
      <c r="A33" s="10" t="str">
        <f>'E4-2016'!B33</f>
        <v>CFA EVE</v>
      </c>
      <c r="B33" s="4" t="str">
        <f>'E4-2016'!D33</f>
        <v>0912119J</v>
      </c>
      <c r="C33" s="4" t="str">
        <f>'E4-2016'!E33</f>
        <v>CEVE</v>
      </c>
      <c r="D33" s="4"/>
      <c r="E33" s="32"/>
      <c r="F33" s="33"/>
      <c r="G33" s="34"/>
      <c r="H33" s="34"/>
      <c r="I33" s="32"/>
      <c r="J33" s="33"/>
      <c r="K33" s="34"/>
      <c r="L33" s="34"/>
      <c r="M33" s="32"/>
      <c r="N33" s="33"/>
      <c r="O33" s="87">
        <v>1</v>
      </c>
      <c r="P33" s="51"/>
      <c r="Q33" s="25">
        <v>1</v>
      </c>
      <c r="R33" s="26"/>
      <c r="S33" s="27">
        <v>1</v>
      </c>
      <c r="T33" s="27"/>
      <c r="U33" s="25">
        <v>1</v>
      </c>
      <c r="V33" s="26"/>
      <c r="W33" s="27">
        <v>1</v>
      </c>
      <c r="X33" s="27"/>
      <c r="Y33" s="5"/>
      <c r="Z33" s="5"/>
      <c r="AA33" s="6"/>
      <c r="AB33" s="6"/>
      <c r="AC33" s="5"/>
      <c r="AD33" s="5"/>
      <c r="AE33" s="6"/>
      <c r="AF33" s="6"/>
      <c r="AG33" s="5"/>
      <c r="AH33" s="5"/>
      <c r="AI33" s="6"/>
      <c r="AJ33" s="6"/>
      <c r="AK33">
        <f t="shared" si="0"/>
        <v>5</v>
      </c>
    </row>
    <row r="34" spans="1:37" x14ac:dyDescent="0.25">
      <c r="A34" s="10" t="str">
        <f>'E4-2016'!B34</f>
        <v>CFA Faculté des métiers</v>
      </c>
      <c r="B34" s="4" t="str">
        <f>'E4-2016'!D34</f>
        <v>0912263R</v>
      </c>
      <c r="C34" s="4" t="str">
        <f>'E4-2016'!E34</f>
        <v>FDM</v>
      </c>
      <c r="D34" s="4"/>
      <c r="E34" s="5">
        <v>1</v>
      </c>
      <c r="F34" s="5"/>
      <c r="G34" s="6">
        <v>1</v>
      </c>
      <c r="H34" s="6"/>
      <c r="I34" s="5">
        <v>1</v>
      </c>
      <c r="J34" s="5"/>
      <c r="K34" s="6">
        <v>1</v>
      </c>
      <c r="L34" s="6"/>
      <c r="M34" s="5"/>
      <c r="N34" s="5"/>
      <c r="O34" s="50"/>
      <c r="P34" s="50"/>
      <c r="Q34" s="32"/>
      <c r="R34" s="33"/>
      <c r="S34" s="34"/>
      <c r="T34" s="34"/>
      <c r="U34" s="32"/>
      <c r="V34" s="33"/>
      <c r="W34" s="34"/>
      <c r="X34" s="34"/>
      <c r="Y34" s="32"/>
      <c r="Z34" s="33"/>
      <c r="AA34" s="34"/>
      <c r="AB34" s="34"/>
      <c r="AC34" s="5"/>
      <c r="AD34" s="5"/>
      <c r="AE34" s="6"/>
      <c r="AF34" s="6"/>
      <c r="AG34" s="5"/>
      <c r="AH34" s="5"/>
      <c r="AI34" s="6"/>
      <c r="AJ34" s="6"/>
      <c r="AK34">
        <f t="shared" si="0"/>
        <v>4</v>
      </c>
    </row>
    <row r="35" spans="1:37" x14ac:dyDescent="0.25">
      <c r="A35" s="10" t="str">
        <f>'E4-2016'!B35</f>
        <v>AFORP</v>
      </c>
      <c r="B35" s="4" t="str">
        <f>'E4-2016'!D35</f>
        <v>0921274K</v>
      </c>
      <c r="C35" s="4" t="str">
        <f>'E4-2016'!E35</f>
        <v>AFOR</v>
      </c>
      <c r="D35" s="4"/>
      <c r="E35" s="32"/>
      <c r="F35" s="33"/>
      <c r="G35" s="34"/>
      <c r="H35" s="34"/>
      <c r="I35" s="32"/>
      <c r="J35" s="33"/>
      <c r="K35" s="34"/>
      <c r="L35" s="34"/>
      <c r="M35" s="32"/>
      <c r="N35" s="33"/>
      <c r="O35" s="51"/>
      <c r="P35" s="51"/>
      <c r="Q35" s="5"/>
      <c r="R35" s="5"/>
      <c r="S35" s="6"/>
      <c r="T35" s="6"/>
      <c r="U35" s="5">
        <v>1</v>
      </c>
      <c r="V35" s="5"/>
      <c r="W35" s="6">
        <v>1</v>
      </c>
      <c r="X35" s="6"/>
      <c r="Y35" s="5">
        <v>1</v>
      </c>
      <c r="Z35" s="5"/>
      <c r="AA35" s="6"/>
      <c r="AB35" s="6"/>
      <c r="AC35" s="32"/>
      <c r="AD35" s="33"/>
      <c r="AE35" s="34"/>
      <c r="AF35" s="34"/>
      <c r="AG35" s="32"/>
      <c r="AH35" s="33"/>
      <c r="AI35" s="34"/>
      <c r="AJ35" s="34"/>
      <c r="AK35">
        <f t="shared" si="0"/>
        <v>3</v>
      </c>
    </row>
    <row r="36" spans="1:37" x14ac:dyDescent="0.25">
      <c r="A36" s="10" t="str">
        <f>'E4-2016'!B36</f>
        <v>EPSI</v>
      </c>
      <c r="B36" s="4" t="str">
        <f>'E4-2016'!D36</f>
        <v>0922467G</v>
      </c>
      <c r="C36" s="4" t="str">
        <f>'E4-2016'!E36</f>
        <v>EPSI</v>
      </c>
      <c r="D36" s="4"/>
      <c r="E36" s="32"/>
      <c r="F36" s="33"/>
      <c r="G36" s="34"/>
      <c r="H36" s="34"/>
      <c r="I36" s="32">
        <v>1</v>
      </c>
      <c r="J36" s="33"/>
      <c r="K36" s="34">
        <v>1</v>
      </c>
      <c r="L36" s="34"/>
      <c r="M36" s="32"/>
      <c r="N36" s="33"/>
      <c r="O36" s="51"/>
      <c r="P36" s="51"/>
      <c r="Q36" s="32"/>
      <c r="R36" s="33"/>
      <c r="S36" s="34"/>
      <c r="T36" s="34"/>
      <c r="U36" s="5"/>
      <c r="V36" s="5"/>
      <c r="W36" s="6"/>
      <c r="X36" s="6"/>
      <c r="Y36" s="5"/>
      <c r="Z36" s="5"/>
      <c r="AA36" s="6"/>
      <c r="AB36" s="6"/>
      <c r="AC36" s="5"/>
      <c r="AD36" s="5"/>
      <c r="AE36" s="6"/>
      <c r="AF36" s="6"/>
      <c r="AG36" s="5"/>
      <c r="AH36" s="5"/>
      <c r="AI36" s="6"/>
      <c r="AJ36" s="6"/>
      <c r="AK36">
        <f t="shared" si="0"/>
        <v>2</v>
      </c>
    </row>
    <row r="37" spans="1:37" x14ac:dyDescent="0.25">
      <c r="A37" s="10" t="str">
        <f>'E4-2016'!B37</f>
        <v>HITEMA</v>
      </c>
      <c r="B37" s="4" t="str">
        <f>'E4-2016'!D37</f>
        <v>0922614S</v>
      </c>
      <c r="C37" s="4" t="str">
        <f>'E4-2016'!E37</f>
        <v>HITE</v>
      </c>
      <c r="D37" s="4"/>
      <c r="E37" s="5"/>
      <c r="F37" s="5"/>
      <c r="G37" s="6"/>
      <c r="H37" s="6"/>
      <c r="I37" s="5"/>
      <c r="J37" s="5"/>
      <c r="K37" s="6"/>
      <c r="L37" s="6"/>
      <c r="M37" s="32"/>
      <c r="N37" s="33"/>
      <c r="O37" s="51"/>
      <c r="P37" s="51"/>
      <c r="Q37" s="32"/>
      <c r="R37" s="33"/>
      <c r="S37" s="34"/>
      <c r="T37" s="34"/>
      <c r="U37" s="5"/>
      <c r="V37" s="5"/>
      <c r="W37" s="6"/>
      <c r="X37" s="6"/>
      <c r="Y37" s="32"/>
      <c r="Z37" s="33"/>
      <c r="AA37" s="34">
        <v>2</v>
      </c>
      <c r="AB37" s="34"/>
      <c r="AC37" s="32">
        <v>2</v>
      </c>
      <c r="AD37" s="33"/>
      <c r="AE37" s="34">
        <v>2</v>
      </c>
      <c r="AF37" s="34"/>
      <c r="AG37" s="32">
        <v>2</v>
      </c>
      <c r="AH37" s="33"/>
      <c r="AI37" s="34">
        <v>1</v>
      </c>
      <c r="AJ37" s="34"/>
      <c r="AK37">
        <f t="shared" si="0"/>
        <v>9</v>
      </c>
    </row>
    <row r="38" spans="1:37" x14ac:dyDescent="0.25">
      <c r="A38" s="10" t="str">
        <f>'E4-2016'!B38</f>
        <v>Ecole Santé et Juridique</v>
      </c>
      <c r="B38" s="4" t="str">
        <f>'E4-2016'!D38</f>
        <v>0922856E</v>
      </c>
      <c r="C38" s="4" t="str">
        <f>'E4-2016'!E38</f>
        <v>ESJ</v>
      </c>
      <c r="D38" s="4"/>
      <c r="E38" s="5"/>
      <c r="F38" s="5"/>
      <c r="G38" s="6"/>
      <c r="H38" s="6"/>
      <c r="I38" s="5"/>
      <c r="J38" s="5"/>
      <c r="K38" s="6">
        <v>1</v>
      </c>
      <c r="L38" s="6"/>
      <c r="M38" s="32">
        <v>1</v>
      </c>
      <c r="N38" s="33"/>
      <c r="O38" s="87">
        <v>1</v>
      </c>
      <c r="P38" s="51"/>
      <c r="Q38" s="32">
        <v>1</v>
      </c>
      <c r="R38" s="33"/>
      <c r="S38" s="34">
        <v>1</v>
      </c>
      <c r="T38" s="34"/>
      <c r="U38" s="5"/>
      <c r="V38" s="5"/>
      <c r="W38" s="6"/>
      <c r="X38" s="6"/>
      <c r="Y38" s="5"/>
      <c r="Z38" s="5"/>
      <c r="AA38" s="6"/>
      <c r="AB38" s="6"/>
      <c r="AC38" s="5"/>
      <c r="AD38" s="5"/>
      <c r="AE38" s="6"/>
      <c r="AF38" s="6"/>
      <c r="AG38" s="32"/>
      <c r="AH38" s="33"/>
      <c r="AI38" s="34"/>
      <c r="AJ38" s="34"/>
      <c r="AK38">
        <f t="shared" si="0"/>
        <v>5</v>
      </c>
    </row>
    <row r="39" spans="1:37" x14ac:dyDescent="0.25">
      <c r="A39" s="10" t="str">
        <f>'E4-2016'!B39</f>
        <v>IMIE Paris</v>
      </c>
      <c r="B39" s="4" t="str">
        <f>'E4-2016'!D39</f>
        <v>0922863M</v>
      </c>
      <c r="C39" s="4" t="str">
        <f>'E4-2016'!E39</f>
        <v>IMIP</v>
      </c>
      <c r="D39" s="4"/>
      <c r="E39" s="5">
        <v>2</v>
      </c>
      <c r="F39" s="5"/>
      <c r="G39" s="6">
        <v>2</v>
      </c>
      <c r="H39" s="6"/>
      <c r="I39" s="5">
        <v>2</v>
      </c>
      <c r="J39" s="5"/>
      <c r="K39" s="6">
        <v>2</v>
      </c>
      <c r="L39" s="6"/>
      <c r="M39" s="32">
        <v>1</v>
      </c>
      <c r="N39" s="33"/>
      <c r="O39" s="51"/>
      <c r="P39" s="51"/>
      <c r="Q39" s="32"/>
      <c r="R39" s="33"/>
      <c r="S39" s="34"/>
      <c r="T39" s="34"/>
      <c r="U39" s="32"/>
      <c r="V39" s="33"/>
      <c r="W39" s="34"/>
      <c r="X39" s="34"/>
      <c r="Y39" s="32"/>
      <c r="Z39" s="33"/>
      <c r="AA39" s="34"/>
      <c r="AB39" s="34"/>
      <c r="AC39" s="5"/>
      <c r="AD39" s="5"/>
      <c r="AE39" s="6"/>
      <c r="AF39" s="6"/>
      <c r="AG39" s="5"/>
      <c r="AH39" s="5"/>
      <c r="AI39" s="6"/>
      <c r="AJ39" s="6"/>
      <c r="AK39">
        <f t="shared" si="0"/>
        <v>9</v>
      </c>
    </row>
    <row r="40" spans="1:37" x14ac:dyDescent="0.25">
      <c r="A40" s="10" t="str">
        <f>'E4-2016'!B40</f>
        <v>Elyon Company</v>
      </c>
      <c r="B40" s="4" t="str">
        <f>'E4-2016'!D40</f>
        <v>0922873Y</v>
      </c>
      <c r="C40" s="4" t="str">
        <f>'E4-2016'!E40</f>
        <v>ELYC</v>
      </c>
      <c r="D40" s="4"/>
      <c r="E40" s="32"/>
      <c r="F40" s="33"/>
      <c r="G40" s="34"/>
      <c r="H40" s="34"/>
      <c r="I40" s="32"/>
      <c r="J40" s="33"/>
      <c r="K40" s="34"/>
      <c r="L40" s="34"/>
      <c r="M40" s="32"/>
      <c r="N40" s="33"/>
      <c r="O40" s="51"/>
      <c r="P40" s="51"/>
      <c r="Q40" s="32"/>
      <c r="R40" s="33"/>
      <c r="S40" s="34"/>
      <c r="T40" s="34"/>
      <c r="U40" s="32"/>
      <c r="V40" s="33"/>
      <c r="W40" s="34"/>
      <c r="X40" s="34"/>
      <c r="Y40" s="32"/>
      <c r="Z40" s="33"/>
      <c r="AA40" s="34"/>
      <c r="AB40" s="34"/>
      <c r="AC40" s="32"/>
      <c r="AD40" s="33"/>
      <c r="AE40" s="34"/>
      <c r="AF40" s="34"/>
      <c r="AG40" s="32"/>
      <c r="AH40" s="33"/>
      <c r="AI40" s="34"/>
      <c r="AJ40" s="34"/>
      <c r="AK40">
        <f t="shared" si="0"/>
        <v>0</v>
      </c>
    </row>
    <row r="41" spans="1:37" x14ac:dyDescent="0.25">
      <c r="A41" s="10" t="str">
        <f>'E4-2016'!B41</f>
        <v>CFA AFORP FORMATION</v>
      </c>
      <c r="B41" s="4" t="str">
        <f>'E4-2016'!D41</f>
        <v>0932760V</v>
      </c>
      <c r="C41" s="4" t="str">
        <f>'E4-2016'!E41</f>
        <v>AFF</v>
      </c>
      <c r="D41" s="4"/>
      <c r="E41" s="5">
        <v>1</v>
      </c>
      <c r="F41" s="5"/>
      <c r="G41" s="6">
        <v>1</v>
      </c>
      <c r="H41" s="6"/>
      <c r="I41" s="5"/>
      <c r="J41" s="5"/>
      <c r="K41" s="6"/>
      <c r="L41" s="6"/>
      <c r="M41" s="32"/>
      <c r="N41" s="33"/>
      <c r="O41" s="51"/>
      <c r="P41" s="51"/>
      <c r="Q41" s="32"/>
      <c r="R41" s="33"/>
      <c r="S41" s="34"/>
      <c r="T41" s="34"/>
      <c r="U41" s="5"/>
      <c r="V41" s="5"/>
      <c r="W41" s="6"/>
      <c r="X41" s="6"/>
      <c r="Y41" s="5"/>
      <c r="Z41" s="5"/>
      <c r="AA41" s="6"/>
      <c r="AB41" s="6"/>
      <c r="AC41" s="32"/>
      <c r="AD41" s="33"/>
      <c r="AE41" s="34"/>
      <c r="AF41" s="34"/>
      <c r="AG41" s="5"/>
      <c r="AH41" s="5"/>
      <c r="AI41" s="6"/>
      <c r="AJ41" s="6"/>
      <c r="AK41">
        <f t="shared" si="0"/>
        <v>2</v>
      </c>
    </row>
    <row r="42" spans="1:37" x14ac:dyDescent="0.25">
      <c r="A42" s="10" t="str">
        <f>'E4-2016'!B42</f>
        <v>Lycée Paul Bert</v>
      </c>
      <c r="B42" s="4" t="str">
        <f>'E4-2016'!D42</f>
        <v>0941355M</v>
      </c>
      <c r="C42" s="4" t="str">
        <f>'E4-2016'!E42</f>
        <v>LPB</v>
      </c>
      <c r="D42" s="4"/>
      <c r="E42" s="5"/>
      <c r="F42" s="5"/>
      <c r="G42" s="6"/>
      <c r="H42" s="6"/>
      <c r="I42" s="5">
        <v>1</v>
      </c>
      <c r="J42" s="5"/>
      <c r="K42" s="6">
        <v>1</v>
      </c>
      <c r="L42" s="6"/>
      <c r="M42" s="32"/>
      <c r="N42" s="33"/>
      <c r="O42" s="51"/>
      <c r="P42" s="51"/>
      <c r="Q42" s="32"/>
      <c r="R42" s="33"/>
      <c r="S42" s="34"/>
      <c r="T42" s="34"/>
      <c r="U42" s="5"/>
      <c r="V42" s="5"/>
      <c r="W42" s="6"/>
      <c r="X42" s="6"/>
      <c r="Y42" s="5"/>
      <c r="Z42" s="5"/>
      <c r="AA42" s="6"/>
      <c r="AB42" s="6"/>
      <c r="AC42" s="5"/>
      <c r="AD42" s="5"/>
      <c r="AE42" s="6"/>
      <c r="AF42" s="6"/>
      <c r="AG42" s="5"/>
      <c r="AH42" s="5"/>
      <c r="AI42" s="6"/>
      <c r="AJ42" s="6"/>
      <c r="AK42">
        <f t="shared" si="0"/>
        <v>2</v>
      </c>
    </row>
    <row r="43" spans="1:37" x14ac:dyDescent="0.25">
      <c r="A43" s="10" t="str">
        <f>'E4-2016'!B43</f>
        <v>EFREI</v>
      </c>
      <c r="B43" s="4" t="str">
        <f>'E4-2016'!D43</f>
        <v>0941934S</v>
      </c>
      <c r="C43" s="4" t="str">
        <f>'E4-2016'!E43</f>
        <v>EFRE</v>
      </c>
      <c r="D43" s="4"/>
      <c r="E43" s="5"/>
      <c r="F43" s="5"/>
      <c r="G43" s="6"/>
      <c r="H43" s="6"/>
      <c r="I43" s="5">
        <v>2</v>
      </c>
      <c r="J43" s="5"/>
      <c r="K43" s="6">
        <v>2</v>
      </c>
      <c r="L43" s="6"/>
      <c r="M43" s="32">
        <v>2</v>
      </c>
      <c r="N43" s="33"/>
      <c r="O43" s="87">
        <v>2</v>
      </c>
      <c r="P43" s="51"/>
      <c r="Q43" s="32">
        <v>2</v>
      </c>
      <c r="R43" s="33"/>
      <c r="S43" s="34"/>
      <c r="T43" s="34"/>
      <c r="U43" s="5"/>
      <c r="V43" s="5"/>
      <c r="W43" s="6"/>
      <c r="X43" s="6"/>
      <c r="Y43" s="5"/>
      <c r="Z43" s="5"/>
      <c r="AA43" s="6"/>
      <c r="AB43" s="6"/>
      <c r="AC43" s="5"/>
      <c r="AD43" s="5"/>
      <c r="AE43" s="6"/>
      <c r="AF43" s="6"/>
      <c r="AG43" s="5"/>
      <c r="AH43" s="5"/>
      <c r="AI43" s="6"/>
      <c r="AJ43" s="6"/>
      <c r="AK43">
        <f t="shared" si="0"/>
        <v>10</v>
      </c>
    </row>
    <row r="44" spans="1:37" x14ac:dyDescent="0.25">
      <c r="A44" s="10" t="str">
        <f>'E4-2016'!B44</f>
        <v>IEFII</v>
      </c>
      <c r="B44" s="4" t="str">
        <f>'E4-2016'!D44</f>
        <v>0942169X</v>
      </c>
      <c r="C44" s="4" t="str">
        <f>'E4-2016'!E44</f>
        <v>IEFII</v>
      </c>
      <c r="D44" s="4"/>
      <c r="E44" s="5">
        <v>2</v>
      </c>
      <c r="F44" s="5"/>
      <c r="G44" s="6">
        <v>2</v>
      </c>
      <c r="H44" s="6"/>
      <c r="I44" s="5">
        <v>2</v>
      </c>
      <c r="J44" s="5"/>
      <c r="K44" s="6">
        <v>2</v>
      </c>
      <c r="L44" s="6"/>
      <c r="M44" s="32">
        <v>2</v>
      </c>
      <c r="N44" s="33"/>
      <c r="O44" s="87">
        <v>2</v>
      </c>
      <c r="P44" s="51"/>
      <c r="Q44" s="32">
        <v>2</v>
      </c>
      <c r="R44" s="33"/>
      <c r="S44" s="34">
        <v>2</v>
      </c>
      <c r="T44" s="34"/>
      <c r="U44" s="5">
        <v>2</v>
      </c>
      <c r="V44" s="5"/>
      <c r="W44" s="6">
        <v>2</v>
      </c>
      <c r="X44" s="6"/>
      <c r="Y44" s="5">
        <v>2</v>
      </c>
      <c r="Z44" s="5"/>
      <c r="AA44" s="6">
        <v>2</v>
      </c>
      <c r="AB44" s="6"/>
      <c r="AC44" s="5">
        <v>2</v>
      </c>
      <c r="AD44" s="5"/>
      <c r="AE44" s="6">
        <v>2</v>
      </c>
      <c r="AF44" s="6"/>
      <c r="AG44" s="5">
        <v>2</v>
      </c>
      <c r="AH44" s="5"/>
      <c r="AI44" s="6">
        <v>1</v>
      </c>
      <c r="AJ44" s="6"/>
      <c r="AK44">
        <f t="shared" si="0"/>
        <v>31</v>
      </c>
    </row>
    <row r="45" spans="1:37" x14ac:dyDescent="0.25">
      <c r="A45" s="10" t="str">
        <f>'E4-2016'!B45</f>
        <v>IFCP</v>
      </c>
      <c r="B45" s="4" t="str">
        <f>'E4-2016'!D45</f>
        <v>0952242W</v>
      </c>
      <c r="C45" s="4" t="str">
        <f>'E4-2016'!E45</f>
        <v>IFCP</v>
      </c>
      <c r="D45" s="4"/>
      <c r="E45" s="5">
        <v>1</v>
      </c>
      <c r="F45" s="5"/>
      <c r="G45" s="6">
        <v>1</v>
      </c>
      <c r="H45" s="6"/>
      <c r="I45" s="5"/>
      <c r="J45" s="5"/>
      <c r="K45" s="6"/>
      <c r="L45" s="6"/>
      <c r="M45" s="32"/>
      <c r="N45" s="33"/>
      <c r="O45" s="51"/>
      <c r="P45" s="51"/>
      <c r="Q45" s="32"/>
      <c r="R45" s="33"/>
      <c r="S45" s="34"/>
      <c r="T45" s="34"/>
      <c r="U45" s="5"/>
      <c r="V45" s="5"/>
      <c r="W45" s="6"/>
      <c r="X45" s="6"/>
      <c r="Y45" s="5"/>
      <c r="Z45" s="5"/>
      <c r="AA45" s="6"/>
      <c r="AB45" s="6"/>
      <c r="AC45" s="5"/>
      <c r="AD45" s="5"/>
      <c r="AE45" s="6"/>
      <c r="AF45" s="6"/>
      <c r="AG45" s="5"/>
      <c r="AH45" s="5"/>
      <c r="AI45" s="6"/>
      <c r="AJ45" s="6"/>
      <c r="AK45">
        <f t="shared" si="0"/>
        <v>2</v>
      </c>
    </row>
    <row r="46" spans="1:37" x14ac:dyDescent="0.25">
      <c r="E46" s="38">
        <f>SUM(E3:E45)</f>
        <v>18</v>
      </c>
      <c r="F46" s="38"/>
      <c r="G46" s="38">
        <f>SUM(G3:G45)</f>
        <v>19</v>
      </c>
      <c r="H46" s="38"/>
      <c r="I46" s="38">
        <f>SUM(I3:I45)</f>
        <v>20</v>
      </c>
      <c r="J46" s="38"/>
      <c r="K46" s="38">
        <f>SUM(K3:K45)</f>
        <v>19</v>
      </c>
      <c r="L46" s="38"/>
      <c r="M46" s="38">
        <f>SUM(M3:M45)</f>
        <v>17</v>
      </c>
      <c r="N46" s="38"/>
      <c r="O46" s="38">
        <f>SUM(O3:O45)</f>
        <v>19</v>
      </c>
      <c r="P46" s="38"/>
      <c r="Q46" s="38">
        <f>SUM(Q3:Q45)</f>
        <v>19</v>
      </c>
      <c r="R46" s="38"/>
      <c r="S46" s="38">
        <f>SUM(S3:S45)</f>
        <v>18</v>
      </c>
      <c r="T46" s="38"/>
      <c r="U46" s="38">
        <f>SUM(U3:U45)</f>
        <v>19</v>
      </c>
      <c r="V46" s="38"/>
      <c r="W46" s="38">
        <f>SUM(W3:W45)</f>
        <v>18</v>
      </c>
      <c r="X46" s="38"/>
      <c r="Y46" s="38">
        <f>SUM(Y3:Y45)</f>
        <v>17</v>
      </c>
      <c r="Z46" s="38"/>
      <c r="AA46" s="38">
        <f>SUM(AA3:AA45)</f>
        <v>18</v>
      </c>
      <c r="AB46" s="38"/>
      <c r="AC46" s="38">
        <f>SUM(AC3:AC45)</f>
        <v>19</v>
      </c>
      <c r="AD46" s="38"/>
      <c r="AE46" s="38">
        <f>SUM(AE3:AE45)</f>
        <v>19</v>
      </c>
      <c r="AF46" s="38"/>
      <c r="AG46" s="38">
        <f>SUM(AG3:AG45)</f>
        <v>20</v>
      </c>
      <c r="AH46" s="38"/>
      <c r="AI46" s="38">
        <f>SUM(AI3:AI45)</f>
        <v>18</v>
      </c>
      <c r="AJ46" s="38"/>
    </row>
    <row r="47" spans="1:37" x14ac:dyDescent="0.25">
      <c r="AK47">
        <f>SUM(AK3:AK46)</f>
        <v>297</v>
      </c>
    </row>
  </sheetData>
  <mergeCells count="16">
    <mergeCell ref="AC1:AD1"/>
    <mergeCell ref="AE1:AF1"/>
    <mergeCell ref="AG1:AH1"/>
    <mergeCell ref="AI1:AJ1"/>
    <mergeCell ref="AA1:AB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</mergeCells>
  <phoneticPr fontId="6" type="noConversion"/>
  <pageMargins left="0.75000000000000011" right="0.75000000000000011" top="1" bottom="1" header="0.5" footer="0.5"/>
  <pageSetup paperSize="8" orientation="landscape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1405"/>
  <sheetViews>
    <sheetView workbookViewId="0"/>
  </sheetViews>
  <sheetFormatPr baseColWidth="10" defaultRowHeight="15" x14ac:dyDescent="0.25"/>
  <cols>
    <col min="1" max="1" width="17.1406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61</v>
      </c>
    </row>
    <row r="2" spans="1:4" x14ac:dyDescent="0.25">
      <c r="A2" t="s">
        <v>200</v>
      </c>
      <c r="B2" s="7" t="s">
        <v>187</v>
      </c>
      <c r="C2">
        <v>1</v>
      </c>
      <c r="D2">
        <v>5</v>
      </c>
    </row>
    <row r="3" spans="1:4" x14ac:dyDescent="0.25">
      <c r="A3" t="s">
        <v>200</v>
      </c>
      <c r="B3" s="2" t="s">
        <v>124</v>
      </c>
      <c r="C3">
        <v>1</v>
      </c>
      <c r="D3">
        <v>5</v>
      </c>
    </row>
    <row r="4" spans="1:4" x14ac:dyDescent="0.25">
      <c r="A4" t="s">
        <v>225</v>
      </c>
      <c r="B4" s="7" t="s">
        <v>188</v>
      </c>
      <c r="C4">
        <v>1</v>
      </c>
      <c r="D4">
        <v>5</v>
      </c>
    </row>
    <row r="5" spans="1:4" x14ac:dyDescent="0.25">
      <c r="A5" t="s">
        <v>225</v>
      </c>
      <c r="B5" s="2" t="s">
        <v>189</v>
      </c>
      <c r="C5">
        <v>1</v>
      </c>
      <c r="D5">
        <v>5</v>
      </c>
    </row>
    <row r="6" spans="1:4" x14ac:dyDescent="0.25">
      <c r="A6" t="s">
        <v>140</v>
      </c>
      <c r="B6" s="7" t="s">
        <v>124</v>
      </c>
      <c r="C6">
        <v>1</v>
      </c>
      <c r="D6">
        <v>5</v>
      </c>
    </row>
    <row r="7" spans="1:4" x14ac:dyDescent="0.25">
      <c r="A7" t="s">
        <v>140</v>
      </c>
      <c r="B7" s="2" t="s">
        <v>46</v>
      </c>
      <c r="C7">
        <v>1</v>
      </c>
      <c r="D7">
        <v>5</v>
      </c>
    </row>
    <row r="8" spans="1:4" x14ac:dyDescent="0.25">
      <c r="A8" t="s">
        <v>140</v>
      </c>
      <c r="B8" s="7" t="s">
        <v>47</v>
      </c>
      <c r="C8">
        <v>1</v>
      </c>
      <c r="D8">
        <v>5</v>
      </c>
    </row>
    <row r="9" spans="1:4" x14ac:dyDescent="0.25">
      <c r="A9" t="s">
        <v>11</v>
      </c>
      <c r="B9" s="2" t="s">
        <v>218</v>
      </c>
      <c r="C9">
        <v>2</v>
      </c>
      <c r="D9">
        <v>10</v>
      </c>
    </row>
    <row r="10" spans="1:4" x14ac:dyDescent="0.25">
      <c r="A10" t="s">
        <v>11</v>
      </c>
      <c r="B10" s="2" t="s">
        <v>50</v>
      </c>
      <c r="C10">
        <v>2</v>
      </c>
      <c r="D10">
        <v>10</v>
      </c>
    </row>
    <row r="11" spans="1:4" x14ac:dyDescent="0.25">
      <c r="A11" t="s">
        <v>11</v>
      </c>
      <c r="B11" s="2" t="s">
        <v>51</v>
      </c>
      <c r="C11">
        <v>2</v>
      </c>
      <c r="D11">
        <v>10</v>
      </c>
    </row>
    <row r="12" spans="1:4" x14ac:dyDescent="0.25">
      <c r="A12" t="s">
        <v>11</v>
      </c>
      <c r="B12" s="2" t="s">
        <v>137</v>
      </c>
      <c r="C12">
        <v>1</v>
      </c>
      <c r="D12">
        <v>5</v>
      </c>
    </row>
    <row r="13" spans="1:4" x14ac:dyDescent="0.25">
      <c r="A13" t="s">
        <v>13</v>
      </c>
      <c r="B13" s="2" t="s">
        <v>54</v>
      </c>
      <c r="C13">
        <v>2</v>
      </c>
      <c r="D13">
        <v>10</v>
      </c>
    </row>
    <row r="14" spans="1:4" x14ac:dyDescent="0.25">
      <c r="A14" t="s">
        <v>13</v>
      </c>
      <c r="B14" s="2" t="s">
        <v>55</v>
      </c>
      <c r="C14">
        <v>2</v>
      </c>
      <c r="D14">
        <v>10</v>
      </c>
    </row>
    <row r="15" spans="1:4" x14ac:dyDescent="0.25">
      <c r="A15" t="s">
        <v>13</v>
      </c>
      <c r="B15" s="2" t="s">
        <v>138</v>
      </c>
      <c r="C15">
        <v>2</v>
      </c>
      <c r="D15">
        <v>10</v>
      </c>
    </row>
    <row r="16" spans="1:4" x14ac:dyDescent="0.25">
      <c r="A16" t="s">
        <v>15</v>
      </c>
      <c r="B16" s="2" t="s">
        <v>138</v>
      </c>
      <c r="C16">
        <v>1</v>
      </c>
      <c r="D16">
        <v>5</v>
      </c>
    </row>
    <row r="17" spans="1:4" x14ac:dyDescent="0.25">
      <c r="A17" t="s">
        <v>15</v>
      </c>
      <c r="B17" s="2" t="s">
        <v>133</v>
      </c>
      <c r="C17">
        <v>1</v>
      </c>
      <c r="D17">
        <v>5</v>
      </c>
    </row>
    <row r="18" spans="1:4" x14ac:dyDescent="0.25">
      <c r="A18" t="s">
        <v>227</v>
      </c>
      <c r="B18" s="7" t="s">
        <v>50</v>
      </c>
      <c r="C18">
        <v>1</v>
      </c>
      <c r="D18">
        <v>5</v>
      </c>
    </row>
    <row r="19" spans="1:4" x14ac:dyDescent="0.25">
      <c r="A19" t="s">
        <v>227</v>
      </c>
      <c r="B19" s="2" t="s">
        <v>51</v>
      </c>
      <c r="C19">
        <v>1</v>
      </c>
      <c r="D19">
        <v>5</v>
      </c>
    </row>
    <row r="20" spans="1:4" x14ac:dyDescent="0.25">
      <c r="A20" t="s">
        <v>227</v>
      </c>
      <c r="B20" s="7" t="s">
        <v>137</v>
      </c>
      <c r="C20">
        <v>1</v>
      </c>
      <c r="D20">
        <v>5</v>
      </c>
    </row>
    <row r="21" spans="1:4" x14ac:dyDescent="0.25">
      <c r="A21" t="s">
        <v>227</v>
      </c>
      <c r="B21" s="2" t="s">
        <v>132</v>
      </c>
      <c r="C21">
        <v>1</v>
      </c>
      <c r="D21">
        <v>5</v>
      </c>
    </row>
    <row r="22" spans="1:4" x14ac:dyDescent="0.25">
      <c r="A22" t="s">
        <v>227</v>
      </c>
      <c r="B22" s="7" t="s">
        <v>125</v>
      </c>
      <c r="C22">
        <v>1</v>
      </c>
      <c r="D22">
        <v>5</v>
      </c>
    </row>
    <row r="23" spans="1:4" x14ac:dyDescent="0.25">
      <c r="A23" t="s">
        <v>17</v>
      </c>
      <c r="B23" s="2" t="s">
        <v>132</v>
      </c>
      <c r="C23">
        <v>1</v>
      </c>
      <c r="D23">
        <v>5</v>
      </c>
    </row>
    <row r="24" spans="1:4" x14ac:dyDescent="0.25">
      <c r="A24" t="s">
        <v>17</v>
      </c>
      <c r="B24" s="7" t="s">
        <v>125</v>
      </c>
      <c r="C24">
        <v>1</v>
      </c>
      <c r="D24">
        <v>5</v>
      </c>
    </row>
    <row r="25" spans="1:4" x14ac:dyDescent="0.25">
      <c r="A25" t="s">
        <v>17</v>
      </c>
      <c r="B25" s="2" t="s">
        <v>54</v>
      </c>
      <c r="C25">
        <v>1</v>
      </c>
      <c r="D25">
        <v>5</v>
      </c>
    </row>
    <row r="26" spans="1:4" x14ac:dyDescent="0.25">
      <c r="A26" t="s">
        <v>17</v>
      </c>
      <c r="B26" s="2" t="s">
        <v>55</v>
      </c>
      <c r="C26">
        <v>1</v>
      </c>
      <c r="D26">
        <v>5</v>
      </c>
    </row>
    <row r="27" spans="1:4" x14ac:dyDescent="0.25">
      <c r="A27" t="s">
        <v>255</v>
      </c>
      <c r="B27" s="2" t="s">
        <v>138</v>
      </c>
      <c r="C27">
        <v>1</v>
      </c>
      <c r="D27">
        <v>5</v>
      </c>
    </row>
    <row r="28" spans="1:4" x14ac:dyDescent="0.25">
      <c r="A28" t="s">
        <v>255</v>
      </c>
      <c r="B28" s="2" t="s">
        <v>133</v>
      </c>
      <c r="C28">
        <v>1</v>
      </c>
      <c r="D28">
        <v>5</v>
      </c>
    </row>
    <row r="29" spans="1:4" x14ac:dyDescent="0.25">
      <c r="A29" t="s">
        <v>203</v>
      </c>
      <c r="B29" s="2" t="s">
        <v>132</v>
      </c>
      <c r="C29">
        <v>2</v>
      </c>
      <c r="D29">
        <v>10</v>
      </c>
    </row>
    <row r="30" spans="1:4" x14ac:dyDescent="0.25">
      <c r="A30" t="s">
        <v>203</v>
      </c>
      <c r="B30" s="2" t="s">
        <v>125</v>
      </c>
      <c r="C30">
        <v>2</v>
      </c>
      <c r="D30">
        <v>10</v>
      </c>
    </row>
    <row r="31" spans="1:4" x14ac:dyDescent="0.25">
      <c r="A31" t="s">
        <v>203</v>
      </c>
      <c r="B31" s="2" t="s">
        <v>54</v>
      </c>
      <c r="C31">
        <v>2</v>
      </c>
      <c r="D31">
        <v>10</v>
      </c>
    </row>
    <row r="32" spans="1:4" x14ac:dyDescent="0.25">
      <c r="A32" t="s">
        <v>203</v>
      </c>
      <c r="B32" s="2" t="s">
        <v>55</v>
      </c>
      <c r="C32">
        <v>2</v>
      </c>
      <c r="D32">
        <v>10</v>
      </c>
    </row>
    <row r="33" spans="1:4" x14ac:dyDescent="0.25">
      <c r="A33" t="s">
        <v>203</v>
      </c>
      <c r="B33" s="2" t="s">
        <v>138</v>
      </c>
      <c r="C33">
        <v>2</v>
      </c>
      <c r="D33">
        <v>10</v>
      </c>
    </row>
    <row r="34" spans="1:4" x14ac:dyDescent="0.25">
      <c r="A34" t="s">
        <v>203</v>
      </c>
      <c r="B34" s="2" t="s">
        <v>133</v>
      </c>
      <c r="C34">
        <v>2</v>
      </c>
      <c r="D34">
        <v>10</v>
      </c>
    </row>
    <row r="35" spans="1:4" x14ac:dyDescent="0.25">
      <c r="A35" t="s">
        <v>213</v>
      </c>
      <c r="B35" s="2" t="s">
        <v>133</v>
      </c>
      <c r="C35">
        <v>1</v>
      </c>
      <c r="D35">
        <v>5</v>
      </c>
    </row>
    <row r="36" spans="1:4" x14ac:dyDescent="0.25">
      <c r="A36" t="s">
        <v>191</v>
      </c>
      <c r="B36" s="7" t="s">
        <v>189</v>
      </c>
      <c r="C36">
        <v>2</v>
      </c>
      <c r="D36">
        <v>10</v>
      </c>
    </row>
    <row r="37" spans="1:4" x14ac:dyDescent="0.25">
      <c r="A37" t="s">
        <v>191</v>
      </c>
      <c r="B37" s="2" t="s">
        <v>218</v>
      </c>
      <c r="C37">
        <v>2</v>
      </c>
      <c r="D37">
        <v>10</v>
      </c>
    </row>
    <row r="38" spans="1:4" x14ac:dyDescent="0.25">
      <c r="A38" t="s">
        <v>191</v>
      </c>
      <c r="B38" s="7" t="s">
        <v>50</v>
      </c>
      <c r="C38">
        <v>2</v>
      </c>
      <c r="D38">
        <v>10</v>
      </c>
    </row>
    <row r="39" spans="1:4" x14ac:dyDescent="0.25">
      <c r="A39" t="s">
        <v>191</v>
      </c>
      <c r="B39" s="2" t="s">
        <v>51</v>
      </c>
      <c r="C39">
        <v>2</v>
      </c>
      <c r="D39">
        <v>10</v>
      </c>
    </row>
    <row r="40" spans="1:4" x14ac:dyDescent="0.25">
      <c r="A40" t="s">
        <v>191</v>
      </c>
      <c r="B40" s="7" t="s">
        <v>137</v>
      </c>
      <c r="C40">
        <v>2</v>
      </c>
      <c r="D40">
        <v>10</v>
      </c>
    </row>
    <row r="41" spans="1:4" x14ac:dyDescent="0.25">
      <c r="A41" t="s">
        <v>191</v>
      </c>
      <c r="B41" s="2" t="s">
        <v>132</v>
      </c>
      <c r="C41">
        <v>2</v>
      </c>
      <c r="D41">
        <v>10</v>
      </c>
    </row>
    <row r="42" spans="1:4" x14ac:dyDescent="0.25">
      <c r="A42" t="s">
        <v>191</v>
      </c>
      <c r="B42" s="7" t="s">
        <v>125</v>
      </c>
      <c r="C42">
        <v>2</v>
      </c>
      <c r="D42">
        <v>10</v>
      </c>
    </row>
    <row r="43" spans="1:4" x14ac:dyDescent="0.25">
      <c r="A43" t="s">
        <v>191</v>
      </c>
      <c r="B43" s="2" t="s">
        <v>54</v>
      </c>
      <c r="C43">
        <v>2</v>
      </c>
      <c r="D43">
        <v>10</v>
      </c>
    </row>
    <row r="44" spans="1:4" x14ac:dyDescent="0.25">
      <c r="A44" t="s">
        <v>129</v>
      </c>
      <c r="B44" s="2" t="s">
        <v>187</v>
      </c>
      <c r="C44">
        <v>3</v>
      </c>
      <c r="D44">
        <v>15</v>
      </c>
    </row>
    <row r="45" spans="1:4" x14ac:dyDescent="0.25">
      <c r="A45" t="s">
        <v>129</v>
      </c>
      <c r="B45" s="2" t="s">
        <v>124</v>
      </c>
      <c r="C45">
        <v>3</v>
      </c>
      <c r="D45">
        <v>15</v>
      </c>
    </row>
    <row r="46" spans="1:4" x14ac:dyDescent="0.25">
      <c r="A46" t="s">
        <v>129</v>
      </c>
      <c r="B46" s="2" t="s">
        <v>46</v>
      </c>
      <c r="C46">
        <v>3</v>
      </c>
      <c r="D46">
        <v>15</v>
      </c>
    </row>
    <row r="47" spans="1:4" x14ac:dyDescent="0.25">
      <c r="A47" t="s">
        <v>129</v>
      </c>
      <c r="B47" s="2" t="s">
        <v>47</v>
      </c>
      <c r="C47">
        <v>3</v>
      </c>
      <c r="D47">
        <v>15</v>
      </c>
    </row>
    <row r="48" spans="1:4" x14ac:dyDescent="0.25">
      <c r="A48" t="s">
        <v>129</v>
      </c>
      <c r="B48" s="2" t="s">
        <v>188</v>
      </c>
      <c r="C48">
        <v>2</v>
      </c>
      <c r="D48">
        <v>10</v>
      </c>
    </row>
    <row r="49" spans="1:4" x14ac:dyDescent="0.25">
      <c r="A49" t="s">
        <v>129</v>
      </c>
      <c r="B49" s="2" t="s">
        <v>189</v>
      </c>
      <c r="C49">
        <v>2</v>
      </c>
      <c r="D49">
        <v>10</v>
      </c>
    </row>
    <row r="50" spans="1:4" x14ac:dyDescent="0.25">
      <c r="A50" t="s">
        <v>129</v>
      </c>
      <c r="B50" s="2" t="s">
        <v>218</v>
      </c>
      <c r="C50">
        <v>2</v>
      </c>
      <c r="D50">
        <v>10</v>
      </c>
    </row>
    <row r="51" spans="1:4" x14ac:dyDescent="0.25">
      <c r="A51" t="s">
        <v>129</v>
      </c>
      <c r="B51" s="2" t="s">
        <v>50</v>
      </c>
      <c r="C51">
        <v>2</v>
      </c>
      <c r="D51">
        <v>10</v>
      </c>
    </row>
    <row r="52" spans="1:4" x14ac:dyDescent="0.25">
      <c r="A52" t="s">
        <v>129</v>
      </c>
      <c r="B52" s="7" t="s">
        <v>51</v>
      </c>
      <c r="C52">
        <v>2</v>
      </c>
      <c r="D52">
        <v>10</v>
      </c>
    </row>
    <row r="53" spans="1:4" x14ac:dyDescent="0.25">
      <c r="A53" t="s">
        <v>129</v>
      </c>
      <c r="B53" s="2" t="s">
        <v>137</v>
      </c>
      <c r="C53">
        <v>2</v>
      </c>
      <c r="D53">
        <v>10</v>
      </c>
    </row>
    <row r="54" spans="1:4" x14ac:dyDescent="0.25">
      <c r="A54" t="s">
        <v>129</v>
      </c>
      <c r="B54" s="7" t="s">
        <v>132</v>
      </c>
      <c r="C54">
        <v>2</v>
      </c>
      <c r="D54">
        <v>10</v>
      </c>
    </row>
    <row r="55" spans="1:4" x14ac:dyDescent="0.25">
      <c r="A55" t="s">
        <v>129</v>
      </c>
      <c r="B55" s="2" t="s">
        <v>125</v>
      </c>
      <c r="C55">
        <v>2</v>
      </c>
      <c r="D55">
        <v>10</v>
      </c>
    </row>
    <row r="56" spans="1:4" x14ac:dyDescent="0.25">
      <c r="A56" t="s">
        <v>129</v>
      </c>
      <c r="B56" s="7" t="s">
        <v>54</v>
      </c>
      <c r="C56">
        <v>2</v>
      </c>
      <c r="D56">
        <v>10</v>
      </c>
    </row>
    <row r="57" spans="1:4" x14ac:dyDescent="0.25">
      <c r="A57" t="s">
        <v>129</v>
      </c>
      <c r="B57" s="2" t="s">
        <v>55</v>
      </c>
      <c r="C57">
        <v>2</v>
      </c>
      <c r="D57">
        <v>10</v>
      </c>
    </row>
    <row r="58" spans="1:4" x14ac:dyDescent="0.25">
      <c r="A58" t="s">
        <v>129</v>
      </c>
      <c r="B58" s="7" t="s">
        <v>138</v>
      </c>
      <c r="C58">
        <v>2</v>
      </c>
      <c r="D58">
        <v>10</v>
      </c>
    </row>
    <row r="59" spans="1:4" x14ac:dyDescent="0.25">
      <c r="A59" t="s">
        <v>129</v>
      </c>
      <c r="B59" s="2" t="s">
        <v>133</v>
      </c>
      <c r="C59">
        <v>2</v>
      </c>
      <c r="D59">
        <v>10</v>
      </c>
    </row>
    <row r="60" spans="1:4" x14ac:dyDescent="0.25">
      <c r="A60" t="s">
        <v>219</v>
      </c>
      <c r="B60" s="2" t="s">
        <v>55</v>
      </c>
      <c r="C60">
        <v>2</v>
      </c>
      <c r="D60">
        <v>10</v>
      </c>
    </row>
    <row r="61" spans="1:4" x14ac:dyDescent="0.25">
      <c r="A61" t="s">
        <v>219</v>
      </c>
      <c r="B61" s="2" t="s">
        <v>138</v>
      </c>
      <c r="C61">
        <v>2</v>
      </c>
      <c r="D61">
        <v>10</v>
      </c>
    </row>
    <row r="62" spans="1:4" x14ac:dyDescent="0.25">
      <c r="A62" t="s">
        <v>219</v>
      </c>
      <c r="B62" s="2" t="s">
        <v>133</v>
      </c>
      <c r="C62">
        <v>2</v>
      </c>
      <c r="D62">
        <v>10</v>
      </c>
    </row>
    <row r="63" spans="1:4" x14ac:dyDescent="0.25">
      <c r="A63" t="s">
        <v>259</v>
      </c>
      <c r="B63" s="2" t="s">
        <v>55</v>
      </c>
      <c r="C63">
        <v>1</v>
      </c>
      <c r="D63">
        <v>5</v>
      </c>
    </row>
    <row r="64" spans="1:4" x14ac:dyDescent="0.25">
      <c r="A64" t="s">
        <v>259</v>
      </c>
      <c r="B64" s="7" t="s">
        <v>138</v>
      </c>
      <c r="C64">
        <v>1</v>
      </c>
      <c r="D64">
        <v>5</v>
      </c>
    </row>
    <row r="65" spans="1:4" x14ac:dyDescent="0.25">
      <c r="A65" t="s">
        <v>259</v>
      </c>
      <c r="B65" s="2" t="s">
        <v>133</v>
      </c>
      <c r="C65">
        <v>1</v>
      </c>
      <c r="D65">
        <v>5</v>
      </c>
    </row>
    <row r="66" spans="1:4" x14ac:dyDescent="0.25">
      <c r="A66" t="s">
        <v>242</v>
      </c>
      <c r="B66" s="7" t="s">
        <v>51</v>
      </c>
      <c r="C66">
        <v>1</v>
      </c>
      <c r="D66">
        <v>5</v>
      </c>
    </row>
    <row r="67" spans="1:4" x14ac:dyDescent="0.25">
      <c r="A67" t="s">
        <v>242</v>
      </c>
      <c r="B67" s="2" t="s">
        <v>137</v>
      </c>
      <c r="C67">
        <v>2</v>
      </c>
      <c r="D67">
        <v>10</v>
      </c>
    </row>
    <row r="68" spans="1:4" x14ac:dyDescent="0.25">
      <c r="A68" t="s">
        <v>242</v>
      </c>
      <c r="B68" s="7" t="s">
        <v>132</v>
      </c>
      <c r="C68">
        <v>2</v>
      </c>
      <c r="D68">
        <v>10</v>
      </c>
    </row>
    <row r="69" spans="1:4" x14ac:dyDescent="0.25">
      <c r="A69" t="s">
        <v>242</v>
      </c>
      <c r="B69" s="2" t="s">
        <v>125</v>
      </c>
      <c r="C69">
        <v>2</v>
      </c>
      <c r="D69">
        <v>10</v>
      </c>
    </row>
    <row r="70" spans="1:4" x14ac:dyDescent="0.25">
      <c r="A70" t="s">
        <v>242</v>
      </c>
      <c r="B70" s="7" t="s">
        <v>54</v>
      </c>
      <c r="C70">
        <v>2</v>
      </c>
      <c r="D70">
        <v>10</v>
      </c>
    </row>
    <row r="71" spans="1:4" x14ac:dyDescent="0.25">
      <c r="A71" t="s">
        <v>206</v>
      </c>
      <c r="B71" s="2" t="s">
        <v>187</v>
      </c>
      <c r="C71">
        <v>2</v>
      </c>
      <c r="D71">
        <v>10</v>
      </c>
    </row>
    <row r="72" spans="1:4" x14ac:dyDescent="0.25">
      <c r="A72" t="s">
        <v>206</v>
      </c>
      <c r="B72" s="2" t="s">
        <v>124</v>
      </c>
      <c r="C72">
        <v>2</v>
      </c>
      <c r="D72">
        <v>10</v>
      </c>
    </row>
    <row r="73" spans="1:4" x14ac:dyDescent="0.25">
      <c r="A73" t="s">
        <v>206</v>
      </c>
      <c r="B73" s="2" t="s">
        <v>46</v>
      </c>
      <c r="C73">
        <v>2</v>
      </c>
      <c r="D73">
        <v>10</v>
      </c>
    </row>
    <row r="74" spans="1:4" x14ac:dyDescent="0.25">
      <c r="A74" t="s">
        <v>206</v>
      </c>
      <c r="B74" s="2" t="s">
        <v>47</v>
      </c>
      <c r="C74">
        <v>2</v>
      </c>
      <c r="D74">
        <v>10</v>
      </c>
    </row>
    <row r="75" spans="1:4" x14ac:dyDescent="0.25">
      <c r="A75" t="s">
        <v>206</v>
      </c>
      <c r="B75" s="2" t="s">
        <v>188</v>
      </c>
      <c r="C75">
        <v>1</v>
      </c>
      <c r="D75">
        <v>5</v>
      </c>
    </row>
    <row r="76" spans="1:4" x14ac:dyDescent="0.25">
      <c r="A76" t="s">
        <v>228</v>
      </c>
      <c r="B76" s="2" t="s">
        <v>188</v>
      </c>
      <c r="C76">
        <v>1</v>
      </c>
      <c r="D76">
        <v>5</v>
      </c>
    </row>
    <row r="77" spans="1:4" x14ac:dyDescent="0.25">
      <c r="A77" t="s">
        <v>228</v>
      </c>
      <c r="B77" s="2" t="s">
        <v>55</v>
      </c>
      <c r="C77">
        <v>1</v>
      </c>
      <c r="D77">
        <v>5</v>
      </c>
    </row>
    <row r="78" spans="1:4" x14ac:dyDescent="0.25">
      <c r="A78" t="s">
        <v>228</v>
      </c>
      <c r="B78" s="7" t="s">
        <v>138</v>
      </c>
      <c r="C78">
        <v>1</v>
      </c>
      <c r="D78">
        <v>5</v>
      </c>
    </row>
    <row r="79" spans="1:4" x14ac:dyDescent="0.25">
      <c r="A79" t="s">
        <v>228</v>
      </c>
      <c r="B79" s="2" t="s">
        <v>133</v>
      </c>
      <c r="C79">
        <v>1</v>
      </c>
      <c r="D79">
        <v>5</v>
      </c>
    </row>
    <row r="80" spans="1:4" x14ac:dyDescent="0.25">
      <c r="A80" t="s">
        <v>271</v>
      </c>
      <c r="B80" s="7" t="s">
        <v>133</v>
      </c>
      <c r="C80">
        <v>1</v>
      </c>
      <c r="D80">
        <v>5</v>
      </c>
    </row>
    <row r="81" spans="1:4" x14ac:dyDescent="0.25">
      <c r="A81" t="s">
        <v>229</v>
      </c>
      <c r="B81" s="2" t="s">
        <v>188</v>
      </c>
      <c r="C81">
        <v>1</v>
      </c>
      <c r="D81">
        <v>5</v>
      </c>
    </row>
    <row r="82" spans="1:4" x14ac:dyDescent="0.25">
      <c r="A82" t="s">
        <v>229</v>
      </c>
      <c r="B82" s="7" t="s">
        <v>189</v>
      </c>
      <c r="C82">
        <v>1</v>
      </c>
      <c r="D82">
        <v>5</v>
      </c>
    </row>
    <row r="83" spans="1:4" x14ac:dyDescent="0.25">
      <c r="A83" t="s">
        <v>229</v>
      </c>
      <c r="B83" s="2" t="s">
        <v>218</v>
      </c>
      <c r="C83">
        <v>1</v>
      </c>
      <c r="D83">
        <v>5</v>
      </c>
    </row>
    <row r="84" spans="1:4" x14ac:dyDescent="0.25">
      <c r="A84" t="s">
        <v>262</v>
      </c>
      <c r="B84" s="7" t="s">
        <v>50</v>
      </c>
      <c r="C84">
        <v>1</v>
      </c>
      <c r="D84">
        <v>5</v>
      </c>
    </row>
    <row r="85" spans="1:4" x14ac:dyDescent="0.25">
      <c r="A85" t="s">
        <v>262</v>
      </c>
      <c r="B85" s="2" t="s">
        <v>51</v>
      </c>
      <c r="C85">
        <v>1</v>
      </c>
      <c r="D85">
        <v>5</v>
      </c>
    </row>
    <row r="86" spans="1:4" x14ac:dyDescent="0.25">
      <c r="A86" t="s">
        <v>262</v>
      </c>
      <c r="B86" s="2" t="s">
        <v>137</v>
      </c>
      <c r="C86">
        <v>1</v>
      </c>
      <c r="D86">
        <v>5</v>
      </c>
    </row>
    <row r="87" spans="1:4" x14ac:dyDescent="0.25">
      <c r="A87" t="s">
        <v>21</v>
      </c>
      <c r="B87" s="2" t="s">
        <v>187</v>
      </c>
      <c r="C87">
        <v>1</v>
      </c>
      <c r="D87">
        <v>5</v>
      </c>
    </row>
    <row r="88" spans="1:4" x14ac:dyDescent="0.25">
      <c r="A88" t="s">
        <v>21</v>
      </c>
      <c r="B88" s="2" t="s">
        <v>124</v>
      </c>
      <c r="C88">
        <v>1</v>
      </c>
      <c r="D88">
        <v>5</v>
      </c>
    </row>
    <row r="89" spans="1:4" x14ac:dyDescent="0.25">
      <c r="A89" t="s">
        <v>21</v>
      </c>
      <c r="B89" s="2" t="s">
        <v>46</v>
      </c>
      <c r="C89">
        <v>1</v>
      </c>
      <c r="D89">
        <v>5</v>
      </c>
    </row>
    <row r="90" spans="1:4" x14ac:dyDescent="0.25">
      <c r="A90" t="s">
        <v>21</v>
      </c>
      <c r="B90" s="2" t="s">
        <v>47</v>
      </c>
      <c r="C90">
        <v>1</v>
      </c>
      <c r="D90">
        <v>5</v>
      </c>
    </row>
    <row r="91" spans="1:4" x14ac:dyDescent="0.25">
      <c r="A91" t="s">
        <v>62</v>
      </c>
      <c r="B91" s="2" t="s">
        <v>188</v>
      </c>
      <c r="C91">
        <v>2</v>
      </c>
      <c r="D91">
        <v>10</v>
      </c>
    </row>
    <row r="92" spans="1:4" x14ac:dyDescent="0.25">
      <c r="A92" t="s">
        <v>62</v>
      </c>
      <c r="B92" s="7" t="s">
        <v>189</v>
      </c>
      <c r="C92">
        <v>2</v>
      </c>
      <c r="D92">
        <v>10</v>
      </c>
    </row>
    <row r="93" spans="1:4" x14ac:dyDescent="0.25">
      <c r="A93" t="s">
        <v>62</v>
      </c>
      <c r="B93" s="2" t="s">
        <v>218</v>
      </c>
      <c r="C93">
        <v>2</v>
      </c>
      <c r="D93">
        <v>10</v>
      </c>
    </row>
    <row r="94" spans="1:4" x14ac:dyDescent="0.25">
      <c r="A94" t="s">
        <v>62</v>
      </c>
      <c r="B94" s="7" t="s">
        <v>50</v>
      </c>
      <c r="C94">
        <v>2</v>
      </c>
      <c r="D94">
        <v>10</v>
      </c>
    </row>
    <row r="95" spans="1:4" x14ac:dyDescent="0.25">
      <c r="A95" t="s">
        <v>62</v>
      </c>
      <c r="B95" s="2" t="s">
        <v>51</v>
      </c>
      <c r="C95">
        <v>2</v>
      </c>
      <c r="D95">
        <v>10</v>
      </c>
    </row>
    <row r="96" spans="1:4" x14ac:dyDescent="0.25">
      <c r="A96" t="s">
        <v>62</v>
      </c>
      <c r="B96" s="7" t="s">
        <v>137</v>
      </c>
      <c r="C96">
        <v>2</v>
      </c>
      <c r="D96">
        <v>10</v>
      </c>
    </row>
    <row r="97" spans="1:4" x14ac:dyDescent="0.25">
      <c r="A97" t="s">
        <v>62</v>
      </c>
      <c r="B97" s="2" t="s">
        <v>132</v>
      </c>
      <c r="C97">
        <v>2</v>
      </c>
      <c r="D97">
        <v>10</v>
      </c>
    </row>
    <row r="98" spans="1:4" x14ac:dyDescent="0.25">
      <c r="A98" t="s">
        <v>62</v>
      </c>
      <c r="B98" s="2" t="s">
        <v>125</v>
      </c>
      <c r="C98">
        <v>2</v>
      </c>
      <c r="D98">
        <v>10</v>
      </c>
    </row>
    <row r="99" spans="1:4" x14ac:dyDescent="0.25">
      <c r="A99" t="s">
        <v>62</v>
      </c>
      <c r="B99" s="2" t="s">
        <v>54</v>
      </c>
      <c r="C99">
        <v>2</v>
      </c>
      <c r="D99">
        <v>10</v>
      </c>
    </row>
    <row r="100" spans="1:4" x14ac:dyDescent="0.25">
      <c r="A100" t="s">
        <v>62</v>
      </c>
      <c r="B100" s="7" t="s">
        <v>55</v>
      </c>
      <c r="C100">
        <v>2</v>
      </c>
      <c r="D100">
        <v>10</v>
      </c>
    </row>
    <row r="101" spans="1:4" x14ac:dyDescent="0.25">
      <c r="A101" t="s">
        <v>62</v>
      </c>
      <c r="B101" s="2" t="s">
        <v>138</v>
      </c>
      <c r="C101">
        <v>2</v>
      </c>
      <c r="D101">
        <v>10</v>
      </c>
    </row>
    <row r="102" spans="1:4" x14ac:dyDescent="0.25">
      <c r="A102" t="s">
        <v>62</v>
      </c>
      <c r="B102" s="2" t="s">
        <v>133</v>
      </c>
      <c r="C102">
        <v>2</v>
      </c>
      <c r="D102">
        <v>10</v>
      </c>
    </row>
    <row r="103" spans="1:4" x14ac:dyDescent="0.25">
      <c r="A103" t="s">
        <v>277</v>
      </c>
      <c r="B103" s="2" t="s">
        <v>188</v>
      </c>
      <c r="C103">
        <v>1</v>
      </c>
      <c r="D103">
        <v>5</v>
      </c>
    </row>
    <row r="104" spans="1:4" x14ac:dyDescent="0.25">
      <c r="A104" t="s">
        <v>277</v>
      </c>
      <c r="B104" s="2" t="s">
        <v>189</v>
      </c>
      <c r="C104">
        <v>1</v>
      </c>
      <c r="D104">
        <v>5</v>
      </c>
    </row>
    <row r="105" spans="1:4" x14ac:dyDescent="0.25">
      <c r="A105" t="s">
        <v>215</v>
      </c>
      <c r="B105" s="2" t="s">
        <v>187</v>
      </c>
      <c r="C105">
        <v>2</v>
      </c>
      <c r="D105">
        <v>10</v>
      </c>
    </row>
    <row r="106" spans="1:4" x14ac:dyDescent="0.25">
      <c r="A106" t="s">
        <v>215</v>
      </c>
      <c r="B106" s="2" t="s">
        <v>124</v>
      </c>
      <c r="C106">
        <v>2</v>
      </c>
      <c r="D106">
        <v>10</v>
      </c>
    </row>
    <row r="107" spans="1:4" x14ac:dyDescent="0.25">
      <c r="A107" t="s">
        <v>215</v>
      </c>
      <c r="B107" s="2" t="s">
        <v>46</v>
      </c>
      <c r="C107">
        <v>2</v>
      </c>
      <c r="D107">
        <v>10</v>
      </c>
    </row>
    <row r="108" spans="1:4" x14ac:dyDescent="0.25">
      <c r="A108" t="s">
        <v>215</v>
      </c>
      <c r="B108" s="2" t="s">
        <v>47</v>
      </c>
      <c r="C108">
        <v>1</v>
      </c>
      <c r="D108">
        <v>5</v>
      </c>
    </row>
    <row r="109" spans="1:4" x14ac:dyDescent="0.25">
      <c r="A109" t="s">
        <v>231</v>
      </c>
      <c r="B109" s="2" t="s">
        <v>189</v>
      </c>
      <c r="C109">
        <v>2</v>
      </c>
      <c r="D109">
        <v>10</v>
      </c>
    </row>
    <row r="110" spans="1:4" x14ac:dyDescent="0.25">
      <c r="A110" t="s">
        <v>231</v>
      </c>
      <c r="B110" s="7" t="s">
        <v>218</v>
      </c>
      <c r="C110">
        <v>2</v>
      </c>
      <c r="D110">
        <v>10</v>
      </c>
    </row>
    <row r="111" spans="1:4" x14ac:dyDescent="0.25">
      <c r="A111" t="s">
        <v>231</v>
      </c>
      <c r="B111" s="2" t="s">
        <v>50</v>
      </c>
      <c r="C111">
        <v>2</v>
      </c>
      <c r="D111">
        <v>10</v>
      </c>
    </row>
    <row r="112" spans="1:4" x14ac:dyDescent="0.25">
      <c r="A112" t="s">
        <v>231</v>
      </c>
      <c r="B112" s="7" t="s">
        <v>51</v>
      </c>
      <c r="C112">
        <v>2</v>
      </c>
      <c r="D112">
        <v>10</v>
      </c>
    </row>
    <row r="113" spans="1:4" x14ac:dyDescent="0.25">
      <c r="A113" t="s">
        <v>231</v>
      </c>
      <c r="B113" s="2" t="s">
        <v>137</v>
      </c>
      <c r="C113">
        <v>1</v>
      </c>
      <c r="D113">
        <v>5</v>
      </c>
    </row>
    <row r="114" spans="1:4" x14ac:dyDescent="0.25">
      <c r="A114" t="s">
        <v>170</v>
      </c>
      <c r="B114" s="7" t="s">
        <v>188</v>
      </c>
      <c r="C114">
        <v>2</v>
      </c>
      <c r="D114">
        <v>10</v>
      </c>
    </row>
    <row r="115" spans="1:4" x14ac:dyDescent="0.25">
      <c r="A115" t="s">
        <v>170</v>
      </c>
      <c r="B115" s="2" t="s">
        <v>189</v>
      </c>
      <c r="C115">
        <v>2</v>
      </c>
      <c r="D115">
        <v>10</v>
      </c>
    </row>
    <row r="116" spans="1:4" x14ac:dyDescent="0.25">
      <c r="A116" t="s">
        <v>170</v>
      </c>
      <c r="B116" s="7" t="s">
        <v>218</v>
      </c>
      <c r="C116">
        <v>2</v>
      </c>
      <c r="D116">
        <v>10</v>
      </c>
    </row>
    <row r="117" spans="1:4" x14ac:dyDescent="0.25">
      <c r="A117" t="s">
        <v>170</v>
      </c>
      <c r="B117" s="2" t="s">
        <v>50</v>
      </c>
      <c r="C117">
        <v>2</v>
      </c>
      <c r="D117">
        <v>10</v>
      </c>
    </row>
    <row r="118" spans="1:4" x14ac:dyDescent="0.25">
      <c r="A118" t="s">
        <v>170</v>
      </c>
      <c r="B118" s="2" t="s">
        <v>51</v>
      </c>
      <c r="C118">
        <v>2</v>
      </c>
      <c r="D118">
        <v>10</v>
      </c>
    </row>
    <row r="119" spans="1:4" x14ac:dyDescent="0.25">
      <c r="A119" t="s">
        <v>170</v>
      </c>
      <c r="B119" s="2" t="s">
        <v>137</v>
      </c>
      <c r="C119">
        <v>2</v>
      </c>
      <c r="D119">
        <v>10</v>
      </c>
    </row>
    <row r="120" spans="1:4" x14ac:dyDescent="0.25">
      <c r="A120" t="s">
        <v>170</v>
      </c>
      <c r="B120" s="2" t="s">
        <v>132</v>
      </c>
      <c r="C120">
        <v>2</v>
      </c>
      <c r="D120">
        <v>10</v>
      </c>
    </row>
    <row r="121" spans="1:4" x14ac:dyDescent="0.25">
      <c r="A121" t="s">
        <v>170</v>
      </c>
      <c r="B121" s="2" t="s">
        <v>125</v>
      </c>
      <c r="C121">
        <v>2</v>
      </c>
      <c r="D121">
        <v>10</v>
      </c>
    </row>
    <row r="122" spans="1:4" x14ac:dyDescent="0.25">
      <c r="A122" t="s">
        <v>170</v>
      </c>
      <c r="B122" s="2" t="s">
        <v>54</v>
      </c>
      <c r="C122">
        <v>2</v>
      </c>
      <c r="D122">
        <v>10</v>
      </c>
    </row>
    <row r="123" spans="1:4" x14ac:dyDescent="0.25">
      <c r="A123" t="s">
        <v>170</v>
      </c>
      <c r="B123" s="2" t="s">
        <v>55</v>
      </c>
      <c r="C123">
        <v>2</v>
      </c>
      <c r="D123">
        <v>10</v>
      </c>
    </row>
    <row r="124" spans="1:4" x14ac:dyDescent="0.25">
      <c r="A124" t="s">
        <v>170</v>
      </c>
      <c r="B124" s="2" t="s">
        <v>138</v>
      </c>
      <c r="C124">
        <v>2</v>
      </c>
      <c r="D124">
        <v>10</v>
      </c>
    </row>
    <row r="125" spans="1:4" x14ac:dyDescent="0.25">
      <c r="A125" t="s">
        <v>170</v>
      </c>
      <c r="B125" s="2" t="s">
        <v>133</v>
      </c>
      <c r="C125">
        <v>2</v>
      </c>
      <c r="D125">
        <v>10</v>
      </c>
    </row>
    <row r="126" spans="1:4" x14ac:dyDescent="0.25">
      <c r="A126" t="s">
        <v>27</v>
      </c>
      <c r="B126" s="7" t="s">
        <v>187</v>
      </c>
      <c r="C126">
        <v>2</v>
      </c>
      <c r="D126">
        <v>10</v>
      </c>
    </row>
    <row r="127" spans="1:4" x14ac:dyDescent="0.25">
      <c r="A127" t="s">
        <v>27</v>
      </c>
      <c r="B127" s="2" t="s">
        <v>124</v>
      </c>
      <c r="C127">
        <v>2</v>
      </c>
      <c r="D127">
        <v>10</v>
      </c>
    </row>
    <row r="128" spans="1:4" x14ac:dyDescent="0.25">
      <c r="A128" t="s">
        <v>27</v>
      </c>
      <c r="B128" s="7" t="s">
        <v>46</v>
      </c>
      <c r="C128">
        <v>2</v>
      </c>
      <c r="D128">
        <v>10</v>
      </c>
    </row>
    <row r="129" spans="1:4" x14ac:dyDescent="0.25">
      <c r="A129" t="s">
        <v>27</v>
      </c>
      <c r="B129" s="2" t="s">
        <v>47</v>
      </c>
      <c r="C129">
        <v>1</v>
      </c>
      <c r="D129">
        <v>5</v>
      </c>
    </row>
    <row r="130" spans="1:4" x14ac:dyDescent="0.25">
      <c r="A130" t="s">
        <v>217</v>
      </c>
      <c r="B130" s="2" t="s">
        <v>189</v>
      </c>
      <c r="C130">
        <v>1</v>
      </c>
      <c r="D130">
        <v>5</v>
      </c>
    </row>
    <row r="131" spans="1:4" x14ac:dyDescent="0.25">
      <c r="A131" t="s">
        <v>217</v>
      </c>
      <c r="B131" s="2" t="s">
        <v>218</v>
      </c>
      <c r="C131">
        <v>1</v>
      </c>
      <c r="D131">
        <v>5</v>
      </c>
    </row>
    <row r="132" spans="1:4" x14ac:dyDescent="0.25">
      <c r="A132" t="s">
        <v>217</v>
      </c>
      <c r="B132" s="7" t="s">
        <v>50</v>
      </c>
      <c r="C132">
        <v>1</v>
      </c>
      <c r="D132">
        <v>5</v>
      </c>
    </row>
    <row r="133" spans="1:4" x14ac:dyDescent="0.25">
      <c r="A133" t="s">
        <v>217</v>
      </c>
      <c r="B133" s="2" t="s">
        <v>51</v>
      </c>
      <c r="C133">
        <v>1</v>
      </c>
      <c r="D133">
        <v>5</v>
      </c>
    </row>
    <row r="134" spans="1:4" x14ac:dyDescent="0.25">
      <c r="A134" t="s">
        <v>217</v>
      </c>
      <c r="B134" s="7" t="s">
        <v>137</v>
      </c>
      <c r="C134">
        <v>1</v>
      </c>
      <c r="D134">
        <v>5</v>
      </c>
    </row>
    <row r="135" spans="1:4" x14ac:dyDescent="0.25">
      <c r="A135" t="s">
        <v>266</v>
      </c>
      <c r="B135" s="2" t="s">
        <v>187</v>
      </c>
      <c r="C135">
        <v>1</v>
      </c>
      <c r="D135">
        <v>5</v>
      </c>
    </row>
    <row r="136" spans="1:4" x14ac:dyDescent="0.25">
      <c r="A136" t="s">
        <v>266</v>
      </c>
      <c r="B136" s="2" t="s">
        <v>124</v>
      </c>
      <c r="C136">
        <v>1</v>
      </c>
      <c r="D136">
        <v>5</v>
      </c>
    </row>
    <row r="137" spans="1:4" x14ac:dyDescent="0.25">
      <c r="A137" t="s">
        <v>266</v>
      </c>
      <c r="B137" s="2" t="s">
        <v>46</v>
      </c>
      <c r="C137">
        <v>1</v>
      </c>
      <c r="D137">
        <v>5</v>
      </c>
    </row>
    <row r="138" spans="1:4" x14ac:dyDescent="0.25">
      <c r="A138" t="s">
        <v>266</v>
      </c>
      <c r="B138" s="2" t="s">
        <v>47</v>
      </c>
      <c r="C138">
        <v>1</v>
      </c>
      <c r="D138">
        <v>5</v>
      </c>
    </row>
    <row r="139" spans="1:4" x14ac:dyDescent="0.25">
      <c r="A139" t="s">
        <v>33</v>
      </c>
      <c r="B139" s="2" t="s">
        <v>51</v>
      </c>
      <c r="C139">
        <v>1</v>
      </c>
      <c r="D139">
        <v>5</v>
      </c>
    </row>
    <row r="140" spans="1:4" x14ac:dyDescent="0.25">
      <c r="A140" t="s">
        <v>33</v>
      </c>
      <c r="B140" s="7" t="s">
        <v>137</v>
      </c>
      <c r="C140">
        <v>1</v>
      </c>
      <c r="D140">
        <v>5</v>
      </c>
    </row>
    <row r="141" spans="1:4" x14ac:dyDescent="0.25">
      <c r="A141" t="s">
        <v>33</v>
      </c>
      <c r="B141" s="2" t="s">
        <v>132</v>
      </c>
      <c r="C141">
        <v>1</v>
      </c>
      <c r="D141">
        <v>5</v>
      </c>
    </row>
    <row r="142" spans="1:4" x14ac:dyDescent="0.25">
      <c r="A142" t="s">
        <v>37</v>
      </c>
      <c r="B142" s="2" t="s">
        <v>46</v>
      </c>
      <c r="C142">
        <v>1</v>
      </c>
      <c r="D142">
        <v>5</v>
      </c>
    </row>
    <row r="143" spans="1:4" x14ac:dyDescent="0.25">
      <c r="A143" t="s">
        <v>37</v>
      </c>
      <c r="B143" s="2" t="s">
        <v>47</v>
      </c>
      <c r="C143">
        <v>1</v>
      </c>
      <c r="D143">
        <v>5</v>
      </c>
    </row>
    <row r="144" spans="1:4" x14ac:dyDescent="0.25">
      <c r="A144" t="s">
        <v>39</v>
      </c>
      <c r="B144" s="2" t="s">
        <v>125</v>
      </c>
      <c r="C144">
        <v>2</v>
      </c>
      <c r="D144">
        <v>10</v>
      </c>
    </row>
    <row r="145" spans="1:4" x14ac:dyDescent="0.25">
      <c r="A145" t="s">
        <v>39</v>
      </c>
      <c r="B145" s="2" t="s">
        <v>54</v>
      </c>
      <c r="C145">
        <v>2</v>
      </c>
      <c r="D145">
        <v>10</v>
      </c>
    </row>
    <row r="146" spans="1:4" x14ac:dyDescent="0.25">
      <c r="A146" t="s">
        <v>39</v>
      </c>
      <c r="B146" s="7" t="s">
        <v>55</v>
      </c>
      <c r="C146">
        <v>2</v>
      </c>
      <c r="D146">
        <v>10</v>
      </c>
    </row>
    <row r="147" spans="1:4" x14ac:dyDescent="0.25">
      <c r="A147" t="s">
        <v>39</v>
      </c>
      <c r="B147" s="2" t="s">
        <v>138</v>
      </c>
      <c r="C147">
        <v>2</v>
      </c>
      <c r="D147">
        <v>10</v>
      </c>
    </row>
    <row r="148" spans="1:4" x14ac:dyDescent="0.25">
      <c r="A148" t="s">
        <v>39</v>
      </c>
      <c r="B148" s="7" t="s">
        <v>133</v>
      </c>
      <c r="C148">
        <v>1</v>
      </c>
      <c r="D148">
        <v>5</v>
      </c>
    </row>
    <row r="149" spans="1:4" x14ac:dyDescent="0.25">
      <c r="A149" t="s">
        <v>233</v>
      </c>
      <c r="B149" s="2" t="s">
        <v>47</v>
      </c>
      <c r="C149">
        <v>1</v>
      </c>
      <c r="D149">
        <v>5</v>
      </c>
    </row>
    <row r="150" spans="1:4" x14ac:dyDescent="0.25">
      <c r="A150" t="s">
        <v>233</v>
      </c>
      <c r="B150" s="7" t="s">
        <v>188</v>
      </c>
      <c r="C150">
        <v>1</v>
      </c>
      <c r="D150">
        <v>5</v>
      </c>
    </row>
    <row r="151" spans="1:4" x14ac:dyDescent="0.25">
      <c r="A151" t="s">
        <v>233</v>
      </c>
      <c r="B151" s="2" t="s">
        <v>189</v>
      </c>
      <c r="C151">
        <v>1</v>
      </c>
      <c r="D151">
        <v>5</v>
      </c>
    </row>
    <row r="152" spans="1:4" x14ac:dyDescent="0.25">
      <c r="A152" t="s">
        <v>233</v>
      </c>
      <c r="B152" s="2" t="s">
        <v>218</v>
      </c>
      <c r="C152">
        <v>1</v>
      </c>
      <c r="D152">
        <v>5</v>
      </c>
    </row>
    <row r="153" spans="1:4" x14ac:dyDescent="0.25">
      <c r="A153" t="s">
        <v>233</v>
      </c>
      <c r="B153" s="2" t="s">
        <v>50</v>
      </c>
      <c r="C153">
        <v>1</v>
      </c>
      <c r="D153">
        <v>5</v>
      </c>
    </row>
    <row r="154" spans="1:4" x14ac:dyDescent="0.25">
      <c r="A154" t="s">
        <v>236</v>
      </c>
      <c r="B154" s="2" t="s">
        <v>187</v>
      </c>
      <c r="C154">
        <v>2</v>
      </c>
      <c r="D154">
        <v>10</v>
      </c>
    </row>
    <row r="155" spans="1:4" x14ac:dyDescent="0.25">
      <c r="A155" t="s">
        <v>236</v>
      </c>
      <c r="B155" s="2" t="s">
        <v>124</v>
      </c>
      <c r="C155">
        <v>2</v>
      </c>
      <c r="D155">
        <v>10</v>
      </c>
    </row>
    <row r="156" spans="1:4" x14ac:dyDescent="0.25">
      <c r="A156" t="s">
        <v>236</v>
      </c>
      <c r="B156" s="2" t="s">
        <v>46</v>
      </c>
      <c r="C156">
        <v>2</v>
      </c>
      <c r="D156">
        <v>10</v>
      </c>
    </row>
    <row r="157" spans="1:4" x14ac:dyDescent="0.25">
      <c r="A157" t="s">
        <v>236</v>
      </c>
      <c r="B157" s="2" t="s">
        <v>47</v>
      </c>
      <c r="C157">
        <v>2</v>
      </c>
      <c r="D157">
        <v>10</v>
      </c>
    </row>
    <row r="158" spans="1:4" x14ac:dyDescent="0.25">
      <c r="A158" t="s">
        <v>236</v>
      </c>
      <c r="B158" s="7" t="s">
        <v>188</v>
      </c>
      <c r="C158">
        <v>1</v>
      </c>
      <c r="D158">
        <v>5</v>
      </c>
    </row>
    <row r="159" spans="1:4" x14ac:dyDescent="0.25">
      <c r="A159" t="s">
        <v>267</v>
      </c>
      <c r="B159" s="2" t="s">
        <v>187</v>
      </c>
      <c r="C159">
        <v>1</v>
      </c>
      <c r="D159">
        <v>5</v>
      </c>
    </row>
    <row r="160" spans="1:4" x14ac:dyDescent="0.25">
      <c r="A160" t="s">
        <v>267</v>
      </c>
      <c r="B160" s="7" t="s">
        <v>124</v>
      </c>
      <c r="C160">
        <v>1</v>
      </c>
      <c r="D160">
        <v>5</v>
      </c>
    </row>
    <row r="161" spans="1:4" x14ac:dyDescent="0.25">
      <c r="A161" t="s">
        <v>238</v>
      </c>
      <c r="B161" s="2" t="s">
        <v>46</v>
      </c>
      <c r="C161">
        <v>1</v>
      </c>
      <c r="D161">
        <v>5</v>
      </c>
    </row>
    <row r="162" spans="1:4" x14ac:dyDescent="0.25">
      <c r="A162" t="s">
        <v>238</v>
      </c>
      <c r="B162" s="7" t="s">
        <v>47</v>
      </c>
      <c r="C162">
        <v>1</v>
      </c>
      <c r="D162">
        <v>5</v>
      </c>
    </row>
    <row r="163" spans="1:4" x14ac:dyDescent="0.25">
      <c r="A163" t="s">
        <v>197</v>
      </c>
      <c r="B163" s="2" t="s">
        <v>46</v>
      </c>
      <c r="C163">
        <v>2</v>
      </c>
      <c r="D163">
        <v>10</v>
      </c>
    </row>
    <row r="164" spans="1:4" x14ac:dyDescent="0.25">
      <c r="A164" t="s">
        <v>197</v>
      </c>
      <c r="B164" s="2" t="s">
        <v>47</v>
      </c>
      <c r="C164">
        <v>2</v>
      </c>
      <c r="D164">
        <v>10</v>
      </c>
    </row>
    <row r="165" spans="1:4" x14ac:dyDescent="0.25">
      <c r="A165" t="s">
        <v>197</v>
      </c>
      <c r="B165" s="2" t="s">
        <v>188</v>
      </c>
      <c r="C165">
        <v>2</v>
      </c>
      <c r="D165">
        <v>10</v>
      </c>
    </row>
    <row r="166" spans="1:4" x14ac:dyDescent="0.25">
      <c r="A166" t="s">
        <v>197</v>
      </c>
      <c r="B166" s="2" t="s">
        <v>189</v>
      </c>
      <c r="C166">
        <v>2</v>
      </c>
      <c r="D166">
        <v>10</v>
      </c>
    </row>
    <row r="167" spans="1:4" x14ac:dyDescent="0.25">
      <c r="A167" t="s">
        <v>197</v>
      </c>
      <c r="B167" s="2" t="s">
        <v>218</v>
      </c>
      <c r="C167">
        <v>2</v>
      </c>
      <c r="D167">
        <v>10</v>
      </c>
    </row>
    <row r="168" spans="1:4" x14ac:dyDescent="0.25">
      <c r="A168" t="s">
        <v>239</v>
      </c>
      <c r="B168" s="2" t="s">
        <v>187</v>
      </c>
      <c r="C168">
        <v>2</v>
      </c>
      <c r="D168">
        <v>10</v>
      </c>
    </row>
    <row r="169" spans="1:4" x14ac:dyDescent="0.25">
      <c r="A169" t="s">
        <v>239</v>
      </c>
      <c r="B169" s="2" t="s">
        <v>124</v>
      </c>
      <c r="C169">
        <v>2</v>
      </c>
      <c r="D169">
        <v>10</v>
      </c>
    </row>
    <row r="170" spans="1:4" x14ac:dyDescent="0.25">
      <c r="A170" t="s">
        <v>239</v>
      </c>
      <c r="B170" s="2" t="s">
        <v>46</v>
      </c>
      <c r="C170">
        <v>2</v>
      </c>
      <c r="D170">
        <v>10</v>
      </c>
    </row>
    <row r="171" spans="1:4" x14ac:dyDescent="0.25">
      <c r="A171" t="s">
        <v>239</v>
      </c>
      <c r="B171" s="2" t="s">
        <v>47</v>
      </c>
      <c r="C171">
        <v>2</v>
      </c>
      <c r="D171">
        <v>10</v>
      </c>
    </row>
    <row r="172" spans="1:4" x14ac:dyDescent="0.25">
      <c r="A172" t="s">
        <v>239</v>
      </c>
      <c r="B172" s="2" t="s">
        <v>188</v>
      </c>
      <c r="C172">
        <v>2</v>
      </c>
      <c r="D172">
        <v>10</v>
      </c>
    </row>
    <row r="173" spans="1:4" x14ac:dyDescent="0.25">
      <c r="A173" t="s">
        <v>239</v>
      </c>
      <c r="B173" s="2" t="s">
        <v>189</v>
      </c>
      <c r="C173">
        <v>2</v>
      </c>
      <c r="D173">
        <v>10</v>
      </c>
    </row>
    <row r="174" spans="1:4" x14ac:dyDescent="0.25">
      <c r="A174" t="s">
        <v>239</v>
      </c>
      <c r="B174" s="2" t="s">
        <v>218</v>
      </c>
      <c r="C174">
        <v>2</v>
      </c>
      <c r="D174">
        <v>10</v>
      </c>
    </row>
    <row r="175" spans="1:4" x14ac:dyDescent="0.25">
      <c r="A175" t="s">
        <v>239</v>
      </c>
      <c r="B175" s="2" t="s">
        <v>50</v>
      </c>
      <c r="C175">
        <v>2</v>
      </c>
      <c r="D175">
        <v>10</v>
      </c>
    </row>
    <row r="176" spans="1:4" x14ac:dyDescent="0.25">
      <c r="A176" t="s">
        <v>239</v>
      </c>
      <c r="B176" s="2" t="s">
        <v>51</v>
      </c>
      <c r="C176">
        <v>2</v>
      </c>
      <c r="D176">
        <v>10</v>
      </c>
    </row>
    <row r="177" spans="1:4" x14ac:dyDescent="0.25">
      <c r="A177" t="s">
        <v>239</v>
      </c>
      <c r="B177" s="2" t="s">
        <v>137</v>
      </c>
      <c r="C177">
        <v>2</v>
      </c>
      <c r="D177">
        <v>10</v>
      </c>
    </row>
    <row r="178" spans="1:4" x14ac:dyDescent="0.25">
      <c r="A178" t="s">
        <v>239</v>
      </c>
      <c r="B178" s="7" t="s">
        <v>132</v>
      </c>
      <c r="C178">
        <v>2</v>
      </c>
      <c r="D178">
        <v>10</v>
      </c>
    </row>
    <row r="179" spans="1:4" x14ac:dyDescent="0.25">
      <c r="A179" t="s">
        <v>239</v>
      </c>
      <c r="B179" s="2" t="s">
        <v>125</v>
      </c>
      <c r="C179">
        <v>2</v>
      </c>
      <c r="D179">
        <v>10</v>
      </c>
    </row>
    <row r="180" spans="1:4" x14ac:dyDescent="0.25">
      <c r="A180" t="s">
        <v>239</v>
      </c>
      <c r="B180" s="7" t="s">
        <v>54</v>
      </c>
      <c r="C180">
        <v>2</v>
      </c>
      <c r="D180">
        <v>10</v>
      </c>
    </row>
    <row r="181" spans="1:4" x14ac:dyDescent="0.25">
      <c r="A181" t="s">
        <v>239</v>
      </c>
      <c r="B181" s="2" t="s">
        <v>55</v>
      </c>
      <c r="C181">
        <v>2</v>
      </c>
      <c r="D181">
        <v>10</v>
      </c>
    </row>
    <row r="182" spans="1:4" x14ac:dyDescent="0.25">
      <c r="A182" t="s">
        <v>239</v>
      </c>
      <c r="B182" s="7" t="s">
        <v>138</v>
      </c>
      <c r="C182">
        <v>2</v>
      </c>
      <c r="D182">
        <v>10</v>
      </c>
    </row>
    <row r="183" spans="1:4" x14ac:dyDescent="0.25">
      <c r="A183" t="s">
        <v>239</v>
      </c>
      <c r="B183" s="2" t="s">
        <v>133</v>
      </c>
      <c r="C183">
        <v>1</v>
      </c>
      <c r="D183">
        <v>5</v>
      </c>
    </row>
    <row r="184" spans="1:4" x14ac:dyDescent="0.25">
      <c r="A184" t="s">
        <v>240</v>
      </c>
      <c r="B184" s="7" t="s">
        <v>187</v>
      </c>
      <c r="C184">
        <v>1</v>
      </c>
      <c r="D184">
        <v>5</v>
      </c>
    </row>
    <row r="185" spans="1:4" x14ac:dyDescent="0.25">
      <c r="A185" t="s">
        <v>240</v>
      </c>
      <c r="B185" s="2" t="s">
        <v>124</v>
      </c>
      <c r="C185">
        <v>1</v>
      </c>
      <c r="D185">
        <v>5</v>
      </c>
    </row>
    <row r="186" spans="1:4" x14ac:dyDescent="0.25">
      <c r="B186" s="2"/>
    </row>
    <row r="187" spans="1:4" x14ac:dyDescent="0.25">
      <c r="B187" s="2"/>
    </row>
    <row r="188" spans="1:4" x14ac:dyDescent="0.25">
      <c r="B188" s="7"/>
    </row>
    <row r="189" spans="1:4" x14ac:dyDescent="0.25">
      <c r="B189" s="2"/>
    </row>
    <row r="190" spans="1:4" x14ac:dyDescent="0.25">
      <c r="B190" s="7"/>
    </row>
    <row r="191" spans="1:4" x14ac:dyDescent="0.25">
      <c r="B191" s="2"/>
    </row>
    <row r="192" spans="1:4" x14ac:dyDescent="0.25">
      <c r="B192" s="7"/>
    </row>
    <row r="193" spans="2:2" x14ac:dyDescent="0.25">
      <c r="B193" s="2"/>
    </row>
    <row r="194" spans="2:2" x14ac:dyDescent="0.25">
      <c r="B194" s="7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7"/>
    </row>
    <row r="203" spans="2:2" x14ac:dyDescent="0.25">
      <c r="B203" s="2"/>
    </row>
    <row r="204" spans="2:2" x14ac:dyDescent="0.25">
      <c r="B204" s="7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7"/>
    </row>
    <row r="209" spans="2:2" x14ac:dyDescent="0.25">
      <c r="B209" s="2"/>
    </row>
    <row r="210" spans="2:2" x14ac:dyDescent="0.25">
      <c r="B210" s="7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7"/>
    </row>
    <row r="217" spans="2:2" x14ac:dyDescent="0.25">
      <c r="B217" s="2"/>
    </row>
    <row r="218" spans="2:2" x14ac:dyDescent="0.25">
      <c r="B218" s="7"/>
    </row>
    <row r="219" spans="2:2" x14ac:dyDescent="0.25">
      <c r="B219" s="2"/>
    </row>
    <row r="220" spans="2:2" x14ac:dyDescent="0.25">
      <c r="B220" s="7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  <row r="525" spans="2:2" x14ac:dyDescent="0.25">
      <c r="B525" s="2"/>
    </row>
    <row r="526" spans="2:2" x14ac:dyDescent="0.25">
      <c r="B526" s="2"/>
    </row>
    <row r="527" spans="2:2" x14ac:dyDescent="0.25">
      <c r="B527" s="2"/>
    </row>
    <row r="528" spans="2:2" x14ac:dyDescent="0.25">
      <c r="B528" s="2"/>
    </row>
    <row r="529" spans="2:2" x14ac:dyDescent="0.25">
      <c r="B529" s="2"/>
    </row>
    <row r="530" spans="2:2" x14ac:dyDescent="0.25">
      <c r="B530" s="2"/>
    </row>
    <row r="531" spans="2:2" x14ac:dyDescent="0.25">
      <c r="B531" s="2"/>
    </row>
    <row r="532" spans="2:2" x14ac:dyDescent="0.25">
      <c r="B532" s="2"/>
    </row>
    <row r="533" spans="2:2" x14ac:dyDescent="0.25">
      <c r="B533" s="2"/>
    </row>
    <row r="534" spans="2:2" x14ac:dyDescent="0.25">
      <c r="B534" s="2"/>
    </row>
    <row r="535" spans="2:2" x14ac:dyDescent="0.25">
      <c r="B535" s="2"/>
    </row>
    <row r="536" spans="2:2" x14ac:dyDescent="0.25">
      <c r="B536" s="2"/>
    </row>
    <row r="537" spans="2:2" x14ac:dyDescent="0.25">
      <c r="B537" s="2"/>
    </row>
    <row r="538" spans="2:2" x14ac:dyDescent="0.25">
      <c r="B538" s="2"/>
    </row>
    <row r="539" spans="2:2" x14ac:dyDescent="0.25">
      <c r="B539" s="2"/>
    </row>
    <row r="540" spans="2:2" x14ac:dyDescent="0.25">
      <c r="B540" s="2"/>
    </row>
    <row r="541" spans="2:2" x14ac:dyDescent="0.25">
      <c r="B541" s="2"/>
    </row>
    <row r="542" spans="2:2" x14ac:dyDescent="0.25">
      <c r="B542" s="2"/>
    </row>
    <row r="543" spans="2:2" x14ac:dyDescent="0.25">
      <c r="B543" s="2"/>
    </row>
    <row r="544" spans="2:2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5" spans="2:2" x14ac:dyDescent="0.25">
      <c r="B705" s="2"/>
    </row>
    <row r="707" spans="2:2" x14ac:dyDescent="0.25">
      <c r="B707" s="2"/>
    </row>
    <row r="709" spans="2:2" x14ac:dyDescent="0.25">
      <c r="B709" s="2"/>
    </row>
    <row r="711" spans="2:2" x14ac:dyDescent="0.25">
      <c r="B711" s="2"/>
    </row>
    <row r="713" spans="2:2" x14ac:dyDescent="0.25">
      <c r="B713" s="2"/>
    </row>
    <row r="715" spans="2:2" x14ac:dyDescent="0.25">
      <c r="B715" s="2"/>
    </row>
    <row r="717" spans="2:2" x14ac:dyDescent="0.25">
      <c r="B717" s="2"/>
    </row>
    <row r="719" spans="2:2" x14ac:dyDescent="0.25">
      <c r="B719" s="2"/>
    </row>
    <row r="721" spans="2:2" x14ac:dyDescent="0.25">
      <c r="B721" s="2"/>
    </row>
    <row r="723" spans="2:2" x14ac:dyDescent="0.25">
      <c r="B723" s="2"/>
    </row>
    <row r="725" spans="2:2" x14ac:dyDescent="0.25">
      <c r="B725" s="2"/>
    </row>
    <row r="727" spans="2:2" x14ac:dyDescent="0.25">
      <c r="B727" s="2"/>
    </row>
    <row r="729" spans="2:2" x14ac:dyDescent="0.25">
      <c r="B729" s="2"/>
    </row>
    <row r="731" spans="2:2" x14ac:dyDescent="0.25">
      <c r="B731" s="2"/>
    </row>
    <row r="733" spans="2:2" x14ac:dyDescent="0.25">
      <c r="B733" s="2"/>
    </row>
    <row r="735" spans="2:2" x14ac:dyDescent="0.25">
      <c r="B735" s="2"/>
    </row>
    <row r="737" spans="2:2" x14ac:dyDescent="0.25">
      <c r="B737" s="2"/>
    </row>
    <row r="739" spans="2:2" x14ac:dyDescent="0.25">
      <c r="B739" s="2"/>
    </row>
    <row r="741" spans="2:2" x14ac:dyDescent="0.25">
      <c r="B741" s="2"/>
    </row>
    <row r="743" spans="2:2" x14ac:dyDescent="0.25">
      <c r="B743" s="2"/>
    </row>
    <row r="745" spans="2:2" x14ac:dyDescent="0.25">
      <c r="B745" s="2"/>
    </row>
    <row r="747" spans="2:2" x14ac:dyDescent="0.25">
      <c r="B747" s="2"/>
    </row>
    <row r="749" spans="2:2" x14ac:dyDescent="0.25">
      <c r="B749" s="2"/>
    </row>
    <row r="751" spans="2:2" x14ac:dyDescent="0.25">
      <c r="B751" s="2"/>
    </row>
    <row r="753" spans="2:2" x14ac:dyDescent="0.25">
      <c r="B753" s="2"/>
    </row>
    <row r="755" spans="2:2" x14ac:dyDescent="0.25">
      <c r="B755" s="2"/>
    </row>
    <row r="757" spans="2:2" x14ac:dyDescent="0.25">
      <c r="B757" s="2"/>
    </row>
    <row r="759" spans="2:2" x14ac:dyDescent="0.25">
      <c r="B759" s="2"/>
    </row>
    <row r="761" spans="2:2" x14ac:dyDescent="0.25">
      <c r="B761" s="2"/>
    </row>
    <row r="763" spans="2:2" x14ac:dyDescent="0.25">
      <c r="B763" s="2"/>
    </row>
    <row r="765" spans="2:2" x14ac:dyDescent="0.25">
      <c r="B765" s="2"/>
    </row>
    <row r="767" spans="2:2" x14ac:dyDescent="0.25">
      <c r="B767" s="2"/>
    </row>
    <row r="769" spans="2:2" x14ac:dyDescent="0.25">
      <c r="B769" s="2"/>
    </row>
    <row r="771" spans="2:2" x14ac:dyDescent="0.25">
      <c r="B771" s="2"/>
    </row>
    <row r="773" spans="2:2" x14ac:dyDescent="0.25">
      <c r="B773" s="2"/>
    </row>
    <row r="775" spans="2:2" x14ac:dyDescent="0.25">
      <c r="B775" s="2"/>
    </row>
    <row r="777" spans="2:2" x14ac:dyDescent="0.25">
      <c r="B777" s="2"/>
    </row>
    <row r="779" spans="2:2" x14ac:dyDescent="0.25">
      <c r="B779" s="2"/>
    </row>
    <row r="781" spans="2:2" x14ac:dyDescent="0.25">
      <c r="B781" s="2"/>
    </row>
    <row r="783" spans="2:2" x14ac:dyDescent="0.25">
      <c r="B783" s="2"/>
    </row>
    <row r="785" spans="2:2" x14ac:dyDescent="0.25">
      <c r="B785" s="2"/>
    </row>
    <row r="787" spans="2:2" x14ac:dyDescent="0.25">
      <c r="B787" s="2"/>
    </row>
    <row r="789" spans="2:2" x14ac:dyDescent="0.25">
      <c r="B789" s="2"/>
    </row>
    <row r="791" spans="2:2" x14ac:dyDescent="0.25">
      <c r="B791" s="2"/>
    </row>
    <row r="793" spans="2:2" x14ac:dyDescent="0.25">
      <c r="B793" s="2"/>
    </row>
    <row r="795" spans="2:2" x14ac:dyDescent="0.25">
      <c r="B795" s="2"/>
    </row>
    <row r="797" spans="2:2" x14ac:dyDescent="0.25">
      <c r="B797" s="2"/>
    </row>
    <row r="799" spans="2:2" x14ac:dyDescent="0.25">
      <c r="B799" s="2"/>
    </row>
    <row r="801" spans="2:2" x14ac:dyDescent="0.25">
      <c r="B801" s="2"/>
    </row>
    <row r="803" spans="2:2" x14ac:dyDescent="0.25">
      <c r="B803" s="2"/>
    </row>
    <row r="805" spans="2:2" x14ac:dyDescent="0.25">
      <c r="B805" s="2"/>
    </row>
    <row r="807" spans="2:2" x14ac:dyDescent="0.25">
      <c r="B807" s="2"/>
    </row>
    <row r="809" spans="2:2" x14ac:dyDescent="0.25">
      <c r="B809" s="2"/>
    </row>
    <row r="811" spans="2:2" x14ac:dyDescent="0.25">
      <c r="B811" s="2"/>
    </row>
    <row r="813" spans="2:2" x14ac:dyDescent="0.25">
      <c r="B813" s="2"/>
    </row>
    <row r="815" spans="2:2" x14ac:dyDescent="0.25">
      <c r="B815" s="2"/>
    </row>
    <row r="817" spans="2:2" x14ac:dyDescent="0.25">
      <c r="B817" s="2"/>
    </row>
    <row r="819" spans="2:2" x14ac:dyDescent="0.25">
      <c r="B819" s="2"/>
    </row>
    <row r="821" spans="2:2" x14ac:dyDescent="0.25">
      <c r="B821" s="2"/>
    </row>
    <row r="823" spans="2:2" x14ac:dyDescent="0.25">
      <c r="B823" s="2"/>
    </row>
    <row r="825" spans="2:2" x14ac:dyDescent="0.25">
      <c r="B825" s="2"/>
    </row>
    <row r="827" spans="2:2" x14ac:dyDescent="0.25">
      <c r="B827" s="2"/>
    </row>
    <row r="829" spans="2:2" x14ac:dyDescent="0.25">
      <c r="B829" s="2"/>
    </row>
    <row r="831" spans="2:2" x14ac:dyDescent="0.25">
      <c r="B831" s="2"/>
    </row>
    <row r="833" spans="2:2" x14ac:dyDescent="0.25">
      <c r="B833" s="2"/>
    </row>
    <row r="835" spans="2:2" x14ac:dyDescent="0.25">
      <c r="B835" s="2"/>
    </row>
    <row r="837" spans="2:2" x14ac:dyDescent="0.25">
      <c r="B837" s="2"/>
    </row>
    <row r="839" spans="2:2" x14ac:dyDescent="0.25">
      <c r="B839" s="2"/>
    </row>
    <row r="841" spans="2:2" x14ac:dyDescent="0.25">
      <c r="B841" s="2"/>
    </row>
    <row r="843" spans="2:2" x14ac:dyDescent="0.25">
      <c r="B843" s="2"/>
    </row>
    <row r="845" spans="2:2" x14ac:dyDescent="0.25">
      <c r="B845" s="2"/>
    </row>
    <row r="847" spans="2:2" x14ac:dyDescent="0.25">
      <c r="B847" s="2"/>
    </row>
    <row r="849" spans="2:2" x14ac:dyDescent="0.25">
      <c r="B849" s="2"/>
    </row>
    <row r="851" spans="2:2" x14ac:dyDescent="0.25">
      <c r="B851" s="2"/>
    </row>
    <row r="853" spans="2:2" x14ac:dyDescent="0.25">
      <c r="B853" s="2"/>
    </row>
    <row r="855" spans="2:2" x14ac:dyDescent="0.25">
      <c r="B855" s="2"/>
    </row>
    <row r="857" spans="2:2" x14ac:dyDescent="0.25">
      <c r="B857" s="2"/>
    </row>
    <row r="859" spans="2:2" x14ac:dyDescent="0.25">
      <c r="B859" s="2"/>
    </row>
    <row r="861" spans="2:2" x14ac:dyDescent="0.25">
      <c r="B861" s="2"/>
    </row>
    <row r="863" spans="2:2" x14ac:dyDescent="0.25">
      <c r="B863" s="2"/>
    </row>
    <row r="865" spans="2:2" x14ac:dyDescent="0.25">
      <c r="B865" s="2"/>
    </row>
    <row r="867" spans="2:2" x14ac:dyDescent="0.25">
      <c r="B867" s="2"/>
    </row>
    <row r="869" spans="2:2" x14ac:dyDescent="0.25">
      <c r="B869" s="2"/>
    </row>
    <row r="871" spans="2:2" x14ac:dyDescent="0.25">
      <c r="B871" s="2"/>
    </row>
    <row r="873" spans="2:2" x14ac:dyDescent="0.25">
      <c r="B873" s="2"/>
    </row>
    <row r="875" spans="2:2" x14ac:dyDescent="0.25">
      <c r="B875" s="2"/>
    </row>
    <row r="877" spans="2:2" x14ac:dyDescent="0.25">
      <c r="B877" s="2"/>
    </row>
    <row r="879" spans="2:2" x14ac:dyDescent="0.25">
      <c r="B879" s="2"/>
    </row>
    <row r="881" spans="2:2" x14ac:dyDescent="0.25">
      <c r="B881" s="2"/>
    </row>
    <row r="883" spans="2:2" x14ac:dyDescent="0.25">
      <c r="B883" s="2"/>
    </row>
    <row r="885" spans="2:2" x14ac:dyDescent="0.25">
      <c r="B885" s="2"/>
    </row>
    <row r="887" spans="2:2" x14ac:dyDescent="0.25">
      <c r="B887" s="2"/>
    </row>
    <row r="889" spans="2:2" x14ac:dyDescent="0.25">
      <c r="B889" s="2"/>
    </row>
    <row r="891" spans="2:2" x14ac:dyDescent="0.25">
      <c r="B891" s="2"/>
    </row>
    <row r="893" spans="2:2" x14ac:dyDescent="0.25">
      <c r="B893" s="2"/>
    </row>
    <row r="895" spans="2:2" x14ac:dyDescent="0.25">
      <c r="B895" s="2"/>
    </row>
    <row r="897" spans="2:2" x14ac:dyDescent="0.25">
      <c r="B897" s="2"/>
    </row>
    <row r="899" spans="2:2" x14ac:dyDescent="0.25">
      <c r="B899" s="2"/>
    </row>
    <row r="901" spans="2:2" x14ac:dyDescent="0.25">
      <c r="B901" s="2"/>
    </row>
    <row r="903" spans="2:2" x14ac:dyDescent="0.25">
      <c r="B903" s="2"/>
    </row>
    <row r="905" spans="2:2" x14ac:dyDescent="0.25">
      <c r="B905" s="2"/>
    </row>
    <row r="907" spans="2:2" x14ac:dyDescent="0.25">
      <c r="B907" s="2"/>
    </row>
    <row r="909" spans="2:2" x14ac:dyDescent="0.25">
      <c r="B909" s="2"/>
    </row>
    <row r="911" spans="2:2" x14ac:dyDescent="0.25">
      <c r="B911" s="2"/>
    </row>
    <row r="913" spans="2:2" x14ac:dyDescent="0.25">
      <c r="B913" s="2"/>
    </row>
    <row r="915" spans="2:2" x14ac:dyDescent="0.25">
      <c r="B915" s="2"/>
    </row>
    <row r="917" spans="2:2" x14ac:dyDescent="0.25">
      <c r="B917" s="2"/>
    </row>
    <row r="919" spans="2:2" x14ac:dyDescent="0.25">
      <c r="B919" s="2"/>
    </row>
    <row r="921" spans="2:2" x14ac:dyDescent="0.25">
      <c r="B921" s="2"/>
    </row>
    <row r="923" spans="2:2" x14ac:dyDescent="0.25">
      <c r="B923" s="2"/>
    </row>
    <row r="925" spans="2:2" x14ac:dyDescent="0.25">
      <c r="B925" s="2"/>
    </row>
    <row r="927" spans="2:2" x14ac:dyDescent="0.25">
      <c r="B927" s="2"/>
    </row>
    <row r="929" spans="2:2" x14ac:dyDescent="0.25">
      <c r="B929" s="2"/>
    </row>
    <row r="931" spans="2:2" x14ac:dyDescent="0.25">
      <c r="B931" s="2"/>
    </row>
    <row r="933" spans="2:2" x14ac:dyDescent="0.25">
      <c r="B933" s="2"/>
    </row>
    <row r="935" spans="2:2" x14ac:dyDescent="0.25">
      <c r="B935" s="2"/>
    </row>
    <row r="937" spans="2:2" x14ac:dyDescent="0.25">
      <c r="B937" s="2"/>
    </row>
    <row r="939" spans="2:2" x14ac:dyDescent="0.25">
      <c r="B939" s="2"/>
    </row>
    <row r="941" spans="2:2" x14ac:dyDescent="0.25">
      <c r="B941" s="2"/>
    </row>
    <row r="943" spans="2:2" x14ac:dyDescent="0.25">
      <c r="B943" s="2"/>
    </row>
    <row r="945" spans="2:2" x14ac:dyDescent="0.25">
      <c r="B945" s="2"/>
    </row>
    <row r="947" spans="2:2" x14ac:dyDescent="0.25">
      <c r="B947" s="2"/>
    </row>
    <row r="949" spans="2:2" x14ac:dyDescent="0.25">
      <c r="B949" s="2"/>
    </row>
    <row r="951" spans="2:2" x14ac:dyDescent="0.25">
      <c r="B951" s="2"/>
    </row>
    <row r="953" spans="2:2" x14ac:dyDescent="0.25">
      <c r="B953" s="2"/>
    </row>
    <row r="955" spans="2:2" x14ac:dyDescent="0.25">
      <c r="B955" s="2"/>
    </row>
    <row r="957" spans="2:2" x14ac:dyDescent="0.25">
      <c r="B957" s="2"/>
    </row>
    <row r="959" spans="2:2" x14ac:dyDescent="0.25">
      <c r="B959" s="2"/>
    </row>
    <row r="961" spans="2:2" x14ac:dyDescent="0.25">
      <c r="B961" s="2"/>
    </row>
    <row r="963" spans="2:2" x14ac:dyDescent="0.25">
      <c r="B963" s="2"/>
    </row>
    <row r="965" spans="2:2" x14ac:dyDescent="0.25">
      <c r="B965" s="2"/>
    </row>
    <row r="967" spans="2:2" x14ac:dyDescent="0.25">
      <c r="B967" s="2"/>
    </row>
    <row r="969" spans="2:2" x14ac:dyDescent="0.25">
      <c r="B969" s="2"/>
    </row>
    <row r="971" spans="2:2" x14ac:dyDescent="0.25">
      <c r="B971" s="2"/>
    </row>
    <row r="973" spans="2:2" x14ac:dyDescent="0.25">
      <c r="B973" s="2"/>
    </row>
    <row r="975" spans="2:2" x14ac:dyDescent="0.25">
      <c r="B975" s="2"/>
    </row>
    <row r="977" spans="2:2" x14ac:dyDescent="0.25">
      <c r="B977" s="2"/>
    </row>
    <row r="979" spans="2:2" x14ac:dyDescent="0.25">
      <c r="B979" s="2"/>
    </row>
    <row r="981" spans="2:2" x14ac:dyDescent="0.25">
      <c r="B981" s="2"/>
    </row>
    <row r="983" spans="2:2" x14ac:dyDescent="0.25">
      <c r="B983" s="2"/>
    </row>
    <row r="985" spans="2:2" x14ac:dyDescent="0.25">
      <c r="B985" s="2"/>
    </row>
    <row r="987" spans="2:2" x14ac:dyDescent="0.25">
      <c r="B987" s="2"/>
    </row>
    <row r="989" spans="2:2" x14ac:dyDescent="0.25">
      <c r="B989" s="2"/>
    </row>
    <row r="991" spans="2:2" x14ac:dyDescent="0.25">
      <c r="B991" s="2"/>
    </row>
    <row r="993" spans="2:2" x14ac:dyDescent="0.25">
      <c r="B993" s="2"/>
    </row>
    <row r="995" spans="2:2" x14ac:dyDescent="0.25">
      <c r="B995" s="2"/>
    </row>
    <row r="997" spans="2:2" x14ac:dyDescent="0.25">
      <c r="B997" s="2"/>
    </row>
    <row r="999" spans="2:2" x14ac:dyDescent="0.25">
      <c r="B999" s="2"/>
    </row>
    <row r="1001" spans="2:2" x14ac:dyDescent="0.25">
      <c r="B1001" s="2"/>
    </row>
    <row r="1003" spans="2:2" x14ac:dyDescent="0.25">
      <c r="B1003" s="2"/>
    </row>
    <row r="1005" spans="2:2" x14ac:dyDescent="0.25">
      <c r="B1005" s="2"/>
    </row>
    <row r="1007" spans="2:2" x14ac:dyDescent="0.25">
      <c r="B1007" s="2"/>
    </row>
    <row r="1009" spans="2:2" x14ac:dyDescent="0.25">
      <c r="B1009" s="2"/>
    </row>
    <row r="1011" spans="2:2" x14ac:dyDescent="0.25">
      <c r="B1011" s="2"/>
    </row>
    <row r="1013" spans="2:2" x14ac:dyDescent="0.25">
      <c r="B1013" s="2"/>
    </row>
    <row r="1015" spans="2:2" x14ac:dyDescent="0.25">
      <c r="B1015" s="2"/>
    </row>
    <row r="1017" spans="2:2" x14ac:dyDescent="0.25">
      <c r="B1017" s="2"/>
    </row>
    <row r="1019" spans="2:2" x14ac:dyDescent="0.25">
      <c r="B1019" s="2"/>
    </row>
    <row r="1021" spans="2:2" x14ac:dyDescent="0.25">
      <c r="B1021" s="2"/>
    </row>
    <row r="1023" spans="2:2" x14ac:dyDescent="0.25">
      <c r="B1023" s="2"/>
    </row>
    <row r="1025" spans="2:2" x14ac:dyDescent="0.25">
      <c r="B1025" s="2"/>
    </row>
    <row r="1027" spans="2:2" x14ac:dyDescent="0.25">
      <c r="B1027" s="2"/>
    </row>
    <row r="1029" spans="2:2" x14ac:dyDescent="0.25">
      <c r="B1029" s="2"/>
    </row>
    <row r="1031" spans="2:2" x14ac:dyDescent="0.25">
      <c r="B1031" s="2"/>
    </row>
    <row r="1033" spans="2:2" x14ac:dyDescent="0.25">
      <c r="B1033" s="2"/>
    </row>
    <row r="1035" spans="2:2" x14ac:dyDescent="0.25">
      <c r="B1035" s="2"/>
    </row>
    <row r="1037" spans="2:2" x14ac:dyDescent="0.25">
      <c r="B1037" s="2"/>
    </row>
    <row r="1039" spans="2:2" x14ac:dyDescent="0.25">
      <c r="B1039" s="2"/>
    </row>
    <row r="1041" spans="2:2" x14ac:dyDescent="0.25">
      <c r="B1041" s="2"/>
    </row>
    <row r="1043" spans="2:2" x14ac:dyDescent="0.25">
      <c r="B1043" s="2"/>
    </row>
    <row r="1045" spans="2:2" x14ac:dyDescent="0.25">
      <c r="B1045" s="2"/>
    </row>
    <row r="1047" spans="2:2" x14ac:dyDescent="0.25">
      <c r="B1047" s="2"/>
    </row>
    <row r="1049" spans="2:2" x14ac:dyDescent="0.25">
      <c r="B1049" s="2"/>
    </row>
    <row r="1051" spans="2:2" x14ac:dyDescent="0.25">
      <c r="B1051" s="2"/>
    </row>
    <row r="1053" spans="2:2" x14ac:dyDescent="0.25">
      <c r="B1053" s="2"/>
    </row>
    <row r="1055" spans="2:2" x14ac:dyDescent="0.25">
      <c r="B1055" s="2"/>
    </row>
    <row r="1057" spans="2:2" x14ac:dyDescent="0.25">
      <c r="B1057" s="2"/>
    </row>
    <row r="1059" spans="2:2" x14ac:dyDescent="0.25">
      <c r="B1059" s="2"/>
    </row>
    <row r="1061" spans="2:2" x14ac:dyDescent="0.25">
      <c r="B1061" s="2"/>
    </row>
    <row r="1063" spans="2:2" x14ac:dyDescent="0.25">
      <c r="B1063" s="2"/>
    </row>
    <row r="1065" spans="2:2" x14ac:dyDescent="0.25">
      <c r="B1065" s="2"/>
    </row>
    <row r="1067" spans="2:2" x14ac:dyDescent="0.25">
      <c r="B1067" s="2"/>
    </row>
    <row r="1069" spans="2:2" x14ac:dyDescent="0.25">
      <c r="B1069" s="2"/>
    </row>
    <row r="1071" spans="2:2" x14ac:dyDescent="0.25">
      <c r="B1071" s="2"/>
    </row>
    <row r="1073" spans="2:2" x14ac:dyDescent="0.25">
      <c r="B1073" s="2"/>
    </row>
    <row r="1075" spans="2:2" x14ac:dyDescent="0.25">
      <c r="B1075" s="2"/>
    </row>
    <row r="1077" spans="2:2" x14ac:dyDescent="0.25">
      <c r="B1077" s="2"/>
    </row>
    <row r="1079" spans="2:2" x14ac:dyDescent="0.25">
      <c r="B1079" s="2"/>
    </row>
    <row r="1081" spans="2:2" x14ac:dyDescent="0.25">
      <c r="B1081" s="2"/>
    </row>
    <row r="1083" spans="2:2" x14ac:dyDescent="0.25">
      <c r="B1083" s="2"/>
    </row>
    <row r="1085" spans="2:2" x14ac:dyDescent="0.25">
      <c r="B1085" s="2"/>
    </row>
    <row r="1087" spans="2:2" x14ac:dyDescent="0.25">
      <c r="B1087" s="2"/>
    </row>
    <row r="1089" spans="2:2" x14ac:dyDescent="0.25">
      <c r="B1089" s="2"/>
    </row>
    <row r="1091" spans="2:2" x14ac:dyDescent="0.25">
      <c r="B1091" s="2"/>
    </row>
    <row r="1093" spans="2:2" x14ac:dyDescent="0.25">
      <c r="B1093" s="2"/>
    </row>
    <row r="1095" spans="2:2" x14ac:dyDescent="0.25">
      <c r="B1095" s="2"/>
    </row>
    <row r="1097" spans="2:2" x14ac:dyDescent="0.25">
      <c r="B1097" s="2"/>
    </row>
    <row r="1099" spans="2:2" x14ac:dyDescent="0.25">
      <c r="B1099" s="2"/>
    </row>
    <row r="1101" spans="2:2" x14ac:dyDescent="0.25">
      <c r="B1101" s="2"/>
    </row>
    <row r="1103" spans="2:2" x14ac:dyDescent="0.25">
      <c r="B1103" s="2"/>
    </row>
    <row r="1105" spans="2:2" x14ac:dyDescent="0.25">
      <c r="B1105" s="2"/>
    </row>
    <row r="1107" spans="2:2" x14ac:dyDescent="0.25">
      <c r="B1107" s="2"/>
    </row>
    <row r="1109" spans="2:2" x14ac:dyDescent="0.25">
      <c r="B1109" s="2"/>
    </row>
    <row r="1111" spans="2:2" x14ac:dyDescent="0.25">
      <c r="B1111" s="2"/>
    </row>
    <row r="1113" spans="2:2" x14ac:dyDescent="0.25">
      <c r="B1113" s="2"/>
    </row>
    <row r="1115" spans="2:2" x14ac:dyDescent="0.25">
      <c r="B1115" s="2"/>
    </row>
    <row r="1117" spans="2:2" x14ac:dyDescent="0.25">
      <c r="B1117" s="2"/>
    </row>
    <row r="1119" spans="2:2" x14ac:dyDescent="0.25">
      <c r="B1119" s="2"/>
    </row>
    <row r="1121" spans="2:2" x14ac:dyDescent="0.25">
      <c r="B1121" s="2"/>
    </row>
    <row r="1123" spans="2:2" x14ac:dyDescent="0.25">
      <c r="B1123" s="2"/>
    </row>
    <row r="1125" spans="2:2" x14ac:dyDescent="0.25">
      <c r="B1125" s="2"/>
    </row>
    <row r="1127" spans="2:2" x14ac:dyDescent="0.25">
      <c r="B1127" s="2"/>
    </row>
    <row r="1129" spans="2:2" x14ac:dyDescent="0.25">
      <c r="B1129" s="2"/>
    </row>
    <row r="1131" spans="2:2" x14ac:dyDescent="0.25">
      <c r="B1131" s="2"/>
    </row>
    <row r="1133" spans="2:2" x14ac:dyDescent="0.25">
      <c r="B1133" s="2"/>
    </row>
    <row r="1135" spans="2:2" x14ac:dyDescent="0.25">
      <c r="B1135" s="2"/>
    </row>
    <row r="1137" spans="2:2" x14ac:dyDescent="0.25">
      <c r="B1137" s="2"/>
    </row>
    <row r="1139" spans="2:2" x14ac:dyDescent="0.25">
      <c r="B1139" s="2"/>
    </row>
    <row r="1141" spans="2:2" x14ac:dyDescent="0.25">
      <c r="B1141" s="2"/>
    </row>
    <row r="1143" spans="2:2" x14ac:dyDescent="0.25">
      <c r="B1143" s="2"/>
    </row>
    <row r="1145" spans="2:2" x14ac:dyDescent="0.25">
      <c r="B1145" s="2"/>
    </row>
    <row r="1147" spans="2:2" x14ac:dyDescent="0.25">
      <c r="B1147" s="2"/>
    </row>
    <row r="1149" spans="2:2" x14ac:dyDescent="0.25">
      <c r="B1149" s="2"/>
    </row>
    <row r="1151" spans="2:2" x14ac:dyDescent="0.25">
      <c r="B1151" s="2"/>
    </row>
    <row r="1153" spans="2:2" x14ac:dyDescent="0.25">
      <c r="B1153" s="2"/>
    </row>
    <row r="1155" spans="2:2" x14ac:dyDescent="0.25">
      <c r="B1155" s="2"/>
    </row>
    <row r="1157" spans="2:2" x14ac:dyDescent="0.25">
      <c r="B1157" s="2"/>
    </row>
    <row r="1159" spans="2:2" x14ac:dyDescent="0.25">
      <c r="B1159" s="2"/>
    </row>
    <row r="1161" spans="2:2" x14ac:dyDescent="0.25">
      <c r="B1161" s="2"/>
    </row>
    <row r="1163" spans="2:2" x14ac:dyDescent="0.25">
      <c r="B1163" s="2"/>
    </row>
    <row r="1165" spans="2:2" x14ac:dyDescent="0.25">
      <c r="B1165" s="2"/>
    </row>
    <row r="1167" spans="2:2" x14ac:dyDescent="0.25">
      <c r="B1167" s="2"/>
    </row>
    <row r="1169" spans="2:2" x14ac:dyDescent="0.25">
      <c r="B1169" s="2"/>
    </row>
    <row r="1171" spans="2:2" x14ac:dyDescent="0.25">
      <c r="B1171" s="2"/>
    </row>
    <row r="1173" spans="2:2" x14ac:dyDescent="0.25">
      <c r="B1173" s="2"/>
    </row>
    <row r="1175" spans="2:2" x14ac:dyDescent="0.25">
      <c r="B1175" s="2"/>
    </row>
    <row r="1177" spans="2:2" x14ac:dyDescent="0.25">
      <c r="B1177" s="2"/>
    </row>
    <row r="1179" spans="2:2" x14ac:dyDescent="0.25">
      <c r="B1179" s="2"/>
    </row>
    <row r="1181" spans="2:2" x14ac:dyDescent="0.25">
      <c r="B1181" s="2"/>
    </row>
    <row r="1183" spans="2:2" x14ac:dyDescent="0.25">
      <c r="B1183" s="2"/>
    </row>
    <row r="1185" spans="2:2" x14ac:dyDescent="0.25">
      <c r="B1185" s="2"/>
    </row>
    <row r="1187" spans="2:2" x14ac:dyDescent="0.25">
      <c r="B1187" s="2"/>
    </row>
    <row r="1189" spans="2:2" x14ac:dyDescent="0.25">
      <c r="B1189" s="2"/>
    </row>
    <row r="1191" spans="2:2" x14ac:dyDescent="0.25">
      <c r="B1191" s="2"/>
    </row>
    <row r="1193" spans="2:2" x14ac:dyDescent="0.25">
      <c r="B1193" s="2"/>
    </row>
    <row r="1195" spans="2:2" x14ac:dyDescent="0.25">
      <c r="B1195" s="2"/>
    </row>
    <row r="1197" spans="2:2" x14ac:dyDescent="0.25">
      <c r="B1197" s="2"/>
    </row>
    <row r="1199" spans="2:2" x14ac:dyDescent="0.25">
      <c r="B1199" s="2"/>
    </row>
    <row r="1201" spans="2:2" x14ac:dyDescent="0.25">
      <c r="B1201" s="2"/>
    </row>
    <row r="1203" spans="2:2" x14ac:dyDescent="0.25">
      <c r="B1203" s="2"/>
    </row>
    <row r="1205" spans="2:2" x14ac:dyDescent="0.25">
      <c r="B1205" s="2"/>
    </row>
    <row r="1207" spans="2:2" x14ac:dyDescent="0.25">
      <c r="B1207" s="2"/>
    </row>
    <row r="1209" spans="2:2" x14ac:dyDescent="0.25">
      <c r="B1209" s="2"/>
    </row>
    <row r="1211" spans="2:2" x14ac:dyDescent="0.25">
      <c r="B1211" s="2"/>
    </row>
    <row r="1213" spans="2:2" x14ac:dyDescent="0.25">
      <c r="B1213" s="2"/>
    </row>
    <row r="1215" spans="2:2" x14ac:dyDescent="0.25">
      <c r="B1215" s="2"/>
    </row>
    <row r="1217" spans="2:2" x14ac:dyDescent="0.25">
      <c r="B1217" s="2"/>
    </row>
    <row r="1219" spans="2:2" x14ac:dyDescent="0.25">
      <c r="B1219" s="2"/>
    </row>
    <row r="1221" spans="2:2" x14ac:dyDescent="0.25">
      <c r="B1221" s="2"/>
    </row>
    <row r="1223" spans="2:2" x14ac:dyDescent="0.25">
      <c r="B1223" s="2"/>
    </row>
    <row r="1225" spans="2:2" x14ac:dyDescent="0.25">
      <c r="B1225" s="2"/>
    </row>
    <row r="1227" spans="2:2" x14ac:dyDescent="0.25">
      <c r="B1227" s="2"/>
    </row>
    <row r="1229" spans="2:2" x14ac:dyDescent="0.25">
      <c r="B1229" s="2"/>
    </row>
    <row r="1231" spans="2:2" x14ac:dyDescent="0.25">
      <c r="B1231" s="2"/>
    </row>
    <row r="1233" spans="2:2" x14ac:dyDescent="0.25">
      <c r="B1233" s="2"/>
    </row>
    <row r="1235" spans="2:2" x14ac:dyDescent="0.25">
      <c r="B1235" s="2"/>
    </row>
    <row r="1237" spans="2:2" x14ac:dyDescent="0.25">
      <c r="B1237" s="2"/>
    </row>
    <row r="1239" spans="2:2" x14ac:dyDescent="0.25">
      <c r="B1239" s="2"/>
    </row>
    <row r="1241" spans="2:2" x14ac:dyDescent="0.25">
      <c r="B1241" s="2"/>
    </row>
    <row r="1243" spans="2:2" x14ac:dyDescent="0.25">
      <c r="B1243" s="2"/>
    </row>
    <row r="1245" spans="2:2" x14ac:dyDescent="0.25">
      <c r="B1245" s="2"/>
    </row>
    <row r="1247" spans="2:2" x14ac:dyDescent="0.25">
      <c r="B1247" s="2"/>
    </row>
    <row r="1249" spans="2:2" x14ac:dyDescent="0.25">
      <c r="B1249" s="2"/>
    </row>
    <row r="1251" spans="2:2" x14ac:dyDescent="0.25">
      <c r="B1251" s="2"/>
    </row>
    <row r="1253" spans="2:2" x14ac:dyDescent="0.25">
      <c r="B1253" s="2"/>
    </row>
    <row r="1255" spans="2:2" x14ac:dyDescent="0.25">
      <c r="B1255" s="2"/>
    </row>
    <row r="1257" spans="2:2" x14ac:dyDescent="0.25">
      <c r="B1257" s="2"/>
    </row>
    <row r="1259" spans="2:2" x14ac:dyDescent="0.25">
      <c r="B1259" s="2"/>
    </row>
    <row r="1261" spans="2:2" x14ac:dyDescent="0.25">
      <c r="B1261" s="2"/>
    </row>
    <row r="1263" spans="2:2" x14ac:dyDescent="0.25">
      <c r="B1263" s="2"/>
    </row>
    <row r="1265" spans="2:2" x14ac:dyDescent="0.25">
      <c r="B1265" s="2"/>
    </row>
    <row r="1267" spans="2:2" x14ac:dyDescent="0.25">
      <c r="B1267" s="2"/>
    </row>
    <row r="1269" spans="2:2" x14ac:dyDescent="0.25">
      <c r="B1269" s="2"/>
    </row>
    <row r="1271" spans="2:2" x14ac:dyDescent="0.25">
      <c r="B1271" s="2"/>
    </row>
    <row r="1273" spans="2:2" x14ac:dyDescent="0.25">
      <c r="B1273" s="2"/>
    </row>
    <row r="1275" spans="2:2" x14ac:dyDescent="0.25">
      <c r="B1275" s="2"/>
    </row>
    <row r="1277" spans="2:2" x14ac:dyDescent="0.25">
      <c r="B1277" s="2"/>
    </row>
    <row r="1279" spans="2:2" x14ac:dyDescent="0.25">
      <c r="B1279" s="2"/>
    </row>
    <row r="1281" spans="2:2" x14ac:dyDescent="0.25">
      <c r="B1281" s="2"/>
    </row>
    <row r="1283" spans="2:2" x14ac:dyDescent="0.25">
      <c r="B1283" s="2"/>
    </row>
    <row r="1285" spans="2:2" x14ac:dyDescent="0.25">
      <c r="B1285" s="2"/>
    </row>
    <row r="1287" spans="2:2" x14ac:dyDescent="0.25">
      <c r="B1287" s="2"/>
    </row>
    <row r="1289" spans="2:2" x14ac:dyDescent="0.25">
      <c r="B1289" s="2"/>
    </row>
    <row r="1291" spans="2:2" x14ac:dyDescent="0.25">
      <c r="B1291" s="2"/>
    </row>
    <row r="1293" spans="2:2" x14ac:dyDescent="0.25">
      <c r="B1293" s="2"/>
    </row>
    <row r="1295" spans="2:2" x14ac:dyDescent="0.25">
      <c r="B1295" s="2"/>
    </row>
    <row r="1297" spans="2:2" x14ac:dyDescent="0.25">
      <c r="B1297" s="2"/>
    </row>
    <row r="1299" spans="2:2" x14ac:dyDescent="0.25">
      <c r="B1299" s="2"/>
    </row>
    <row r="1301" spans="2:2" x14ac:dyDescent="0.25">
      <c r="B1301" s="2"/>
    </row>
    <row r="1303" spans="2:2" x14ac:dyDescent="0.25">
      <c r="B1303" s="2"/>
    </row>
    <row r="1305" spans="2:2" x14ac:dyDescent="0.25">
      <c r="B1305" s="2"/>
    </row>
    <row r="1307" spans="2:2" x14ac:dyDescent="0.25">
      <c r="B1307" s="2"/>
    </row>
    <row r="1309" spans="2:2" x14ac:dyDescent="0.25">
      <c r="B1309" s="2"/>
    </row>
    <row r="1311" spans="2:2" x14ac:dyDescent="0.25">
      <c r="B1311" s="2"/>
    </row>
    <row r="1313" spans="2:2" x14ac:dyDescent="0.25">
      <c r="B1313" s="2"/>
    </row>
    <row r="1315" spans="2:2" x14ac:dyDescent="0.25">
      <c r="B1315" s="2"/>
    </row>
    <row r="1317" spans="2:2" x14ac:dyDescent="0.25">
      <c r="B1317" s="2"/>
    </row>
    <row r="1319" spans="2:2" x14ac:dyDescent="0.25">
      <c r="B1319" s="2"/>
    </row>
    <row r="1321" spans="2:2" x14ac:dyDescent="0.25">
      <c r="B1321" s="2"/>
    </row>
    <row r="1323" spans="2:2" x14ac:dyDescent="0.25">
      <c r="B1323" s="2"/>
    </row>
    <row r="1325" spans="2:2" x14ac:dyDescent="0.25">
      <c r="B1325" s="2"/>
    </row>
    <row r="1327" spans="2:2" x14ac:dyDescent="0.25">
      <c r="B1327" s="2"/>
    </row>
    <row r="1329" spans="2:2" x14ac:dyDescent="0.25">
      <c r="B1329" s="2"/>
    </row>
    <row r="1331" spans="2:2" x14ac:dyDescent="0.25">
      <c r="B1331" s="2"/>
    </row>
    <row r="1333" spans="2:2" x14ac:dyDescent="0.25">
      <c r="B1333" s="2"/>
    </row>
    <row r="1335" spans="2:2" x14ac:dyDescent="0.25">
      <c r="B1335" s="2"/>
    </row>
    <row r="1337" spans="2:2" x14ac:dyDescent="0.25">
      <c r="B1337" s="2"/>
    </row>
    <row r="1339" spans="2:2" x14ac:dyDescent="0.25">
      <c r="B1339" s="2"/>
    </row>
    <row r="1341" spans="2:2" x14ac:dyDescent="0.25">
      <c r="B1341" s="2"/>
    </row>
    <row r="1343" spans="2:2" x14ac:dyDescent="0.25">
      <c r="B1343" s="2"/>
    </row>
    <row r="1345" spans="2:2" x14ac:dyDescent="0.25">
      <c r="B1345" s="2"/>
    </row>
    <row r="1347" spans="2:2" x14ac:dyDescent="0.25">
      <c r="B1347" s="2"/>
    </row>
    <row r="1349" spans="2:2" x14ac:dyDescent="0.25">
      <c r="B1349" s="2"/>
    </row>
    <row r="1351" spans="2:2" x14ac:dyDescent="0.25">
      <c r="B1351" s="2"/>
    </row>
    <row r="1353" spans="2:2" x14ac:dyDescent="0.25">
      <c r="B1353" s="2"/>
    </row>
    <row r="1355" spans="2:2" x14ac:dyDescent="0.25">
      <c r="B1355" s="2"/>
    </row>
    <row r="1357" spans="2:2" x14ac:dyDescent="0.25">
      <c r="B1357" s="2"/>
    </row>
    <row r="1359" spans="2:2" x14ac:dyDescent="0.25">
      <c r="B1359" s="2"/>
    </row>
    <row r="1361" spans="2:2" x14ac:dyDescent="0.25">
      <c r="B1361" s="2"/>
    </row>
    <row r="1363" spans="2:2" x14ac:dyDescent="0.25">
      <c r="B1363" s="2"/>
    </row>
    <row r="1365" spans="2:2" x14ac:dyDescent="0.25">
      <c r="B1365" s="2"/>
    </row>
    <row r="1367" spans="2:2" x14ac:dyDescent="0.25">
      <c r="B1367" s="2"/>
    </row>
    <row r="1369" spans="2:2" x14ac:dyDescent="0.25">
      <c r="B1369" s="2"/>
    </row>
    <row r="1371" spans="2:2" x14ac:dyDescent="0.25">
      <c r="B1371" s="2"/>
    </row>
    <row r="1373" spans="2:2" x14ac:dyDescent="0.25">
      <c r="B1373" s="2"/>
    </row>
    <row r="1375" spans="2:2" x14ac:dyDescent="0.25">
      <c r="B1375" s="2"/>
    </row>
    <row r="1377" spans="2:2" x14ac:dyDescent="0.25">
      <c r="B1377" s="2"/>
    </row>
    <row r="1379" spans="2:2" x14ac:dyDescent="0.25">
      <c r="B1379" s="2"/>
    </row>
    <row r="1381" spans="2:2" x14ac:dyDescent="0.25">
      <c r="B1381" s="2"/>
    </row>
    <row r="1383" spans="2:2" x14ac:dyDescent="0.25">
      <c r="B1383" s="2"/>
    </row>
    <row r="1385" spans="2:2" x14ac:dyDescent="0.25">
      <c r="B1385" s="2"/>
    </row>
    <row r="1387" spans="2:2" x14ac:dyDescent="0.25">
      <c r="B1387" s="2"/>
    </row>
    <row r="1389" spans="2:2" x14ac:dyDescent="0.25">
      <c r="B1389" s="2"/>
    </row>
    <row r="1391" spans="2:2" x14ac:dyDescent="0.25">
      <c r="B1391" s="2"/>
    </row>
    <row r="1393" spans="2:2" x14ac:dyDescent="0.25">
      <c r="B1393" s="2"/>
    </row>
    <row r="1395" spans="2:2" x14ac:dyDescent="0.25">
      <c r="B1395" s="2"/>
    </row>
    <row r="1397" spans="2:2" x14ac:dyDescent="0.25">
      <c r="B1397" s="2"/>
    </row>
    <row r="1399" spans="2:2" x14ac:dyDescent="0.25">
      <c r="B1399" s="2"/>
    </row>
    <row r="1401" spans="2:2" x14ac:dyDescent="0.25">
      <c r="B1401" s="2"/>
    </row>
    <row r="1403" spans="2:2" x14ac:dyDescent="0.25">
      <c r="B1403" s="2"/>
    </row>
    <row r="1405" spans="2:2" x14ac:dyDescent="0.25">
      <c r="B1405" s="2"/>
    </row>
  </sheetData>
  <pageMargins left="0.75" right="0.75" top="1" bottom="1" header="0.5" footer="0.5"/>
  <pageSetup paperSize="8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43"/>
  <sheetViews>
    <sheetView workbookViewId="0">
      <selection activeCell="H14" sqref="H14"/>
    </sheetView>
  </sheetViews>
  <sheetFormatPr baseColWidth="10" defaultRowHeight="15" x14ac:dyDescent="0.25"/>
  <cols>
    <col min="2" max="2" width="18" customWidth="1"/>
    <col min="3" max="3" width="27.85546875" customWidth="1"/>
    <col min="4" max="4" width="19.7109375" customWidth="1"/>
    <col min="8" max="8" width="14.7109375" customWidth="1"/>
    <col min="9" max="9" width="22.140625" customWidth="1"/>
    <col min="10" max="10" width="23" customWidth="1"/>
  </cols>
  <sheetData>
    <row r="1" spans="1:12" x14ac:dyDescent="0.25">
      <c r="A1" t="s">
        <v>200</v>
      </c>
      <c r="B1" t="s">
        <v>201</v>
      </c>
      <c r="C1" t="s">
        <v>6</v>
      </c>
      <c r="D1" t="s">
        <v>200</v>
      </c>
      <c r="E1" t="s">
        <v>202</v>
      </c>
      <c r="F1" t="s">
        <v>202</v>
      </c>
      <c r="G1">
        <v>15</v>
      </c>
      <c r="H1" t="s">
        <v>201</v>
      </c>
      <c r="I1" t="s">
        <v>6</v>
      </c>
      <c r="J1" t="s">
        <v>200</v>
      </c>
      <c r="K1" t="s">
        <v>202</v>
      </c>
      <c r="L1" t="s">
        <v>130</v>
      </c>
    </row>
    <row r="2" spans="1:12" x14ac:dyDescent="0.25">
      <c r="A2" t="s">
        <v>225</v>
      </c>
      <c r="B2" t="s">
        <v>224</v>
      </c>
      <c r="C2" t="s">
        <v>6</v>
      </c>
      <c r="D2" t="s">
        <v>225</v>
      </c>
      <c r="E2" t="s">
        <v>226</v>
      </c>
      <c r="F2" t="s">
        <v>226</v>
      </c>
      <c r="G2">
        <v>135</v>
      </c>
      <c r="H2" t="s">
        <v>224</v>
      </c>
      <c r="I2" t="s">
        <v>6</v>
      </c>
      <c r="J2" t="s">
        <v>225</v>
      </c>
      <c r="K2" t="s">
        <v>226</v>
      </c>
      <c r="L2" t="s">
        <v>130</v>
      </c>
    </row>
    <row r="3" spans="1:12" x14ac:dyDescent="0.25">
      <c r="A3" t="s">
        <v>140</v>
      </c>
      <c r="B3" t="s">
        <v>139</v>
      </c>
      <c r="C3" t="s">
        <v>6</v>
      </c>
      <c r="D3" t="s">
        <v>140</v>
      </c>
      <c r="E3" t="s">
        <v>141</v>
      </c>
      <c r="F3" t="s">
        <v>141</v>
      </c>
      <c r="G3">
        <v>107</v>
      </c>
      <c r="H3" t="s">
        <v>139</v>
      </c>
      <c r="I3" t="s">
        <v>6</v>
      </c>
      <c r="J3" t="s">
        <v>140</v>
      </c>
      <c r="K3" t="s">
        <v>141</v>
      </c>
      <c r="L3" t="s">
        <v>130</v>
      </c>
    </row>
    <row r="4" spans="1:12" x14ac:dyDescent="0.25">
      <c r="A4" t="s">
        <v>11</v>
      </c>
      <c r="B4" t="s">
        <v>10</v>
      </c>
      <c r="C4" t="s">
        <v>6</v>
      </c>
      <c r="D4" t="s">
        <v>11</v>
      </c>
      <c r="E4" t="s">
        <v>10</v>
      </c>
      <c r="F4" t="s">
        <v>10</v>
      </c>
      <c r="G4">
        <v>22</v>
      </c>
      <c r="H4" t="s">
        <v>10</v>
      </c>
      <c r="I4" t="s">
        <v>6</v>
      </c>
      <c r="J4" t="s">
        <v>11</v>
      </c>
      <c r="K4" t="s">
        <v>10</v>
      </c>
      <c r="L4" t="s">
        <v>130</v>
      </c>
    </row>
    <row r="5" spans="1:12" x14ac:dyDescent="0.25">
      <c r="A5" t="s">
        <v>13</v>
      </c>
      <c r="B5" t="s">
        <v>12</v>
      </c>
      <c r="C5" t="s">
        <v>6</v>
      </c>
      <c r="D5" t="s">
        <v>13</v>
      </c>
      <c r="E5" t="s">
        <v>14</v>
      </c>
      <c r="F5" t="s">
        <v>14</v>
      </c>
      <c r="G5">
        <v>23</v>
      </c>
      <c r="H5" t="s">
        <v>12</v>
      </c>
      <c r="I5" t="s">
        <v>6</v>
      </c>
      <c r="J5" t="s">
        <v>13</v>
      </c>
      <c r="K5" t="s">
        <v>14</v>
      </c>
      <c r="L5" t="s">
        <v>130</v>
      </c>
    </row>
    <row r="6" spans="1:12" x14ac:dyDescent="0.25">
      <c r="A6" t="s">
        <v>15</v>
      </c>
      <c r="B6" t="s">
        <v>144</v>
      </c>
      <c r="C6" t="s">
        <v>6</v>
      </c>
      <c r="D6" t="s">
        <v>15</v>
      </c>
      <c r="E6" t="s">
        <v>145</v>
      </c>
      <c r="F6" t="s">
        <v>145</v>
      </c>
      <c r="G6">
        <v>25</v>
      </c>
      <c r="H6" t="s">
        <v>144</v>
      </c>
      <c r="I6" t="s">
        <v>6</v>
      </c>
      <c r="J6" t="s">
        <v>15</v>
      </c>
      <c r="K6" t="s">
        <v>145</v>
      </c>
      <c r="L6" t="s">
        <v>130</v>
      </c>
    </row>
    <row r="7" spans="1:12" x14ac:dyDescent="0.25">
      <c r="A7" t="s">
        <v>227</v>
      </c>
      <c r="B7" t="s">
        <v>142</v>
      </c>
      <c r="C7" t="s">
        <v>6</v>
      </c>
      <c r="D7" t="s">
        <v>227</v>
      </c>
      <c r="E7" t="s">
        <v>143</v>
      </c>
      <c r="F7" t="s">
        <v>143</v>
      </c>
      <c r="G7">
        <v>86</v>
      </c>
      <c r="H7" t="s">
        <v>142</v>
      </c>
      <c r="I7" t="s">
        <v>6</v>
      </c>
      <c r="J7" t="s">
        <v>227</v>
      </c>
      <c r="K7" t="s">
        <v>143</v>
      </c>
      <c r="L7" t="s">
        <v>130</v>
      </c>
    </row>
    <row r="8" spans="1:12" x14ac:dyDescent="0.25">
      <c r="A8" t="s">
        <v>17</v>
      </c>
      <c r="B8" t="s">
        <v>16</v>
      </c>
      <c r="C8" t="s">
        <v>6</v>
      </c>
      <c r="D8" t="s">
        <v>17</v>
      </c>
      <c r="E8" t="s">
        <v>18</v>
      </c>
      <c r="F8" t="s">
        <v>18</v>
      </c>
      <c r="G8">
        <v>26</v>
      </c>
      <c r="H8" t="s">
        <v>16</v>
      </c>
      <c r="I8" t="s">
        <v>6</v>
      </c>
      <c r="J8" t="s">
        <v>17</v>
      </c>
      <c r="K8" t="s">
        <v>18</v>
      </c>
      <c r="L8" t="s">
        <v>130</v>
      </c>
    </row>
    <row r="9" spans="1:12" x14ac:dyDescent="0.25">
      <c r="A9" t="s">
        <v>255</v>
      </c>
      <c r="B9" t="s">
        <v>256</v>
      </c>
      <c r="C9" t="s">
        <v>6</v>
      </c>
      <c r="D9" t="s">
        <v>255</v>
      </c>
      <c r="E9" t="s">
        <v>256</v>
      </c>
      <c r="F9" t="s">
        <v>256</v>
      </c>
      <c r="G9">
        <v>139</v>
      </c>
      <c r="H9" t="s">
        <v>256</v>
      </c>
      <c r="I9" t="s">
        <v>6</v>
      </c>
      <c r="J9" t="s">
        <v>255</v>
      </c>
      <c r="K9" t="s">
        <v>256</v>
      </c>
      <c r="L9" t="s">
        <v>130</v>
      </c>
    </row>
    <row r="10" spans="1:12" x14ac:dyDescent="0.25">
      <c r="A10" t="s">
        <v>203</v>
      </c>
      <c r="B10" t="s">
        <v>204</v>
      </c>
      <c r="C10" t="s">
        <v>6</v>
      </c>
      <c r="D10" t="s">
        <v>203</v>
      </c>
      <c r="E10" t="s">
        <v>205</v>
      </c>
      <c r="F10" t="s">
        <v>205</v>
      </c>
      <c r="G10">
        <v>75</v>
      </c>
      <c r="H10" t="s">
        <v>204</v>
      </c>
      <c r="I10" t="s">
        <v>6</v>
      </c>
      <c r="J10" t="s">
        <v>203</v>
      </c>
      <c r="K10" t="s">
        <v>205</v>
      </c>
      <c r="L10" t="s">
        <v>130</v>
      </c>
    </row>
    <row r="11" spans="1:12" x14ac:dyDescent="0.25">
      <c r="A11" t="s">
        <v>213</v>
      </c>
      <c r="B11" t="s">
        <v>212</v>
      </c>
      <c r="C11" t="s">
        <v>6</v>
      </c>
      <c r="D11" t="s">
        <v>213</v>
      </c>
      <c r="E11" t="s">
        <v>214</v>
      </c>
      <c r="F11" t="s">
        <v>214</v>
      </c>
      <c r="G11">
        <v>125</v>
      </c>
      <c r="H11" t="s">
        <v>212</v>
      </c>
      <c r="I11" t="s">
        <v>6</v>
      </c>
      <c r="J11" t="s">
        <v>213</v>
      </c>
      <c r="K11" t="s">
        <v>214</v>
      </c>
      <c r="L11" t="s">
        <v>130</v>
      </c>
    </row>
    <row r="12" spans="1:12" x14ac:dyDescent="0.25">
      <c r="A12" t="s">
        <v>257</v>
      </c>
      <c r="B12" t="s">
        <v>258</v>
      </c>
      <c r="C12" t="s">
        <v>6</v>
      </c>
      <c r="D12" t="s">
        <v>257</v>
      </c>
      <c r="E12" t="s">
        <v>258</v>
      </c>
      <c r="F12" t="s">
        <v>258</v>
      </c>
      <c r="G12">
        <v>102</v>
      </c>
      <c r="H12" t="s">
        <v>258</v>
      </c>
      <c r="I12" t="s">
        <v>6</v>
      </c>
      <c r="J12" t="s">
        <v>257</v>
      </c>
      <c r="K12" t="s">
        <v>258</v>
      </c>
      <c r="L12" t="s">
        <v>130</v>
      </c>
    </row>
    <row r="13" spans="1:12" x14ac:dyDescent="0.25">
      <c r="A13" t="s">
        <v>191</v>
      </c>
      <c r="B13" t="s">
        <v>190</v>
      </c>
      <c r="C13" t="s">
        <v>6</v>
      </c>
      <c r="D13" t="s">
        <v>191</v>
      </c>
      <c r="E13" t="s">
        <v>192</v>
      </c>
      <c r="F13" t="s">
        <v>192</v>
      </c>
      <c r="G13">
        <v>108</v>
      </c>
      <c r="H13" t="s">
        <v>190</v>
      </c>
      <c r="I13" t="s">
        <v>6</v>
      </c>
      <c r="J13" t="s">
        <v>191</v>
      </c>
      <c r="K13" t="s">
        <v>192</v>
      </c>
      <c r="L13" t="s">
        <v>130</v>
      </c>
    </row>
    <row r="14" spans="1:12" x14ac:dyDescent="0.25">
      <c r="A14" t="s">
        <v>129</v>
      </c>
      <c r="B14" t="s">
        <v>128</v>
      </c>
      <c r="C14" t="s">
        <v>6</v>
      </c>
      <c r="D14" t="s">
        <v>129</v>
      </c>
      <c r="E14" t="s">
        <v>128</v>
      </c>
      <c r="F14" t="s">
        <v>128</v>
      </c>
      <c r="G14">
        <v>103</v>
      </c>
      <c r="H14" t="s">
        <v>128</v>
      </c>
      <c r="I14" t="s">
        <v>6</v>
      </c>
      <c r="J14" t="s">
        <v>129</v>
      </c>
      <c r="K14" t="s">
        <v>128</v>
      </c>
      <c r="L14" t="s">
        <v>130</v>
      </c>
    </row>
    <row r="15" spans="1:12" x14ac:dyDescent="0.25">
      <c r="A15" t="s">
        <v>219</v>
      </c>
      <c r="B15" t="s">
        <v>220</v>
      </c>
      <c r="C15" t="s">
        <v>6</v>
      </c>
      <c r="D15" t="s">
        <v>219</v>
      </c>
      <c r="E15" t="s">
        <v>221</v>
      </c>
      <c r="F15" t="s">
        <v>221</v>
      </c>
      <c r="G15">
        <v>131</v>
      </c>
      <c r="H15" t="s">
        <v>220</v>
      </c>
      <c r="I15" t="s">
        <v>6</v>
      </c>
      <c r="J15" t="s">
        <v>219</v>
      </c>
      <c r="K15" t="s">
        <v>221</v>
      </c>
      <c r="L15" t="s">
        <v>130</v>
      </c>
    </row>
    <row r="16" spans="1:12" x14ac:dyDescent="0.25">
      <c r="A16" t="s">
        <v>259</v>
      </c>
      <c r="B16" t="s">
        <v>260</v>
      </c>
      <c r="C16" t="s">
        <v>6</v>
      </c>
      <c r="D16" t="s">
        <v>259</v>
      </c>
      <c r="E16" t="s">
        <v>260</v>
      </c>
      <c r="F16" t="s">
        <v>260</v>
      </c>
      <c r="G16">
        <v>140</v>
      </c>
      <c r="H16" t="s">
        <v>260</v>
      </c>
      <c r="I16" t="s">
        <v>6</v>
      </c>
      <c r="J16" t="s">
        <v>259</v>
      </c>
      <c r="K16" t="s">
        <v>260</v>
      </c>
      <c r="L16" t="s">
        <v>130</v>
      </c>
    </row>
    <row r="17" spans="1:12" x14ac:dyDescent="0.25">
      <c r="A17" t="s">
        <v>242</v>
      </c>
      <c r="B17" t="s">
        <v>261</v>
      </c>
      <c r="C17" t="s">
        <v>6</v>
      </c>
      <c r="D17" t="s">
        <v>242</v>
      </c>
      <c r="E17" t="s">
        <v>7</v>
      </c>
      <c r="F17" t="s">
        <v>7</v>
      </c>
      <c r="G17">
        <v>74</v>
      </c>
      <c r="H17" t="s">
        <v>261</v>
      </c>
      <c r="I17" t="s">
        <v>6</v>
      </c>
      <c r="J17" t="s">
        <v>242</v>
      </c>
      <c r="K17" t="s">
        <v>7</v>
      </c>
      <c r="L17" t="s">
        <v>130</v>
      </c>
    </row>
    <row r="18" spans="1:12" x14ac:dyDescent="0.25">
      <c r="A18" t="s">
        <v>206</v>
      </c>
      <c r="B18" t="s">
        <v>207</v>
      </c>
      <c r="C18" t="s">
        <v>6</v>
      </c>
      <c r="D18" t="s">
        <v>206</v>
      </c>
      <c r="E18" t="s">
        <v>208</v>
      </c>
      <c r="F18" t="s">
        <v>208</v>
      </c>
      <c r="G18">
        <v>115</v>
      </c>
      <c r="H18" t="s">
        <v>207</v>
      </c>
      <c r="I18" t="s">
        <v>6</v>
      </c>
      <c r="J18" t="s">
        <v>206</v>
      </c>
      <c r="K18" t="s">
        <v>208</v>
      </c>
      <c r="L18" t="s">
        <v>130</v>
      </c>
    </row>
    <row r="19" spans="1:12" x14ac:dyDescent="0.25">
      <c r="A19" t="s">
        <v>228</v>
      </c>
      <c r="B19" t="s">
        <v>193</v>
      </c>
      <c r="C19" t="s">
        <v>6</v>
      </c>
      <c r="D19" t="s">
        <v>228</v>
      </c>
      <c r="E19" t="s">
        <v>194</v>
      </c>
      <c r="F19" t="s">
        <v>194</v>
      </c>
      <c r="G19">
        <v>113</v>
      </c>
      <c r="H19" t="s">
        <v>193</v>
      </c>
      <c r="I19" t="s">
        <v>6</v>
      </c>
      <c r="J19" t="s">
        <v>228</v>
      </c>
      <c r="K19" t="s">
        <v>194</v>
      </c>
      <c r="L19" t="s">
        <v>130</v>
      </c>
    </row>
    <row r="20" spans="1:12" x14ac:dyDescent="0.25">
      <c r="A20" t="s">
        <v>271</v>
      </c>
      <c r="B20" t="s">
        <v>272</v>
      </c>
      <c r="C20" t="s">
        <v>6</v>
      </c>
      <c r="D20" t="s">
        <v>271</v>
      </c>
      <c r="E20" t="s">
        <v>273</v>
      </c>
      <c r="F20" t="s">
        <v>273</v>
      </c>
      <c r="G20">
        <v>144</v>
      </c>
      <c r="H20" t="s">
        <v>272</v>
      </c>
      <c r="I20" t="s">
        <v>6</v>
      </c>
      <c r="J20" t="s">
        <v>271</v>
      </c>
      <c r="K20" t="s">
        <v>273</v>
      </c>
      <c r="L20" t="s">
        <v>130</v>
      </c>
    </row>
    <row r="21" spans="1:12" x14ac:dyDescent="0.25">
      <c r="A21" t="s">
        <v>229</v>
      </c>
      <c r="B21" t="s">
        <v>8</v>
      </c>
      <c r="C21" t="s">
        <v>6</v>
      </c>
      <c r="D21" t="s">
        <v>229</v>
      </c>
      <c r="E21" t="s">
        <v>9</v>
      </c>
      <c r="F21" t="s">
        <v>9</v>
      </c>
      <c r="G21">
        <v>16</v>
      </c>
      <c r="H21" t="s">
        <v>8</v>
      </c>
      <c r="I21" t="s">
        <v>6</v>
      </c>
      <c r="J21" t="s">
        <v>229</v>
      </c>
      <c r="K21" t="s">
        <v>9</v>
      </c>
      <c r="L21" t="s">
        <v>130</v>
      </c>
    </row>
    <row r="22" spans="1:12" x14ac:dyDescent="0.25">
      <c r="A22" t="s">
        <v>262</v>
      </c>
      <c r="B22" t="s">
        <v>263</v>
      </c>
      <c r="D22" t="s">
        <v>262</v>
      </c>
      <c r="E22" t="s">
        <v>264</v>
      </c>
      <c r="F22" t="s">
        <v>264</v>
      </c>
      <c r="G22">
        <v>142</v>
      </c>
      <c r="H22" t="s">
        <v>263</v>
      </c>
      <c r="J22" t="s">
        <v>262</v>
      </c>
      <c r="K22" t="s">
        <v>264</v>
      </c>
      <c r="L22" t="s">
        <v>130</v>
      </c>
    </row>
    <row r="23" spans="1:12" x14ac:dyDescent="0.25">
      <c r="A23" t="s">
        <v>21</v>
      </c>
      <c r="B23" t="s">
        <v>19</v>
      </c>
      <c r="C23" t="s">
        <v>20</v>
      </c>
      <c r="D23" t="s">
        <v>21</v>
      </c>
      <c r="E23" t="s">
        <v>22</v>
      </c>
      <c r="F23" t="s">
        <v>22</v>
      </c>
      <c r="G23">
        <v>85</v>
      </c>
      <c r="H23" t="s">
        <v>19</v>
      </c>
      <c r="I23" t="s">
        <v>20</v>
      </c>
      <c r="J23" t="s">
        <v>21</v>
      </c>
      <c r="K23" t="s">
        <v>22</v>
      </c>
      <c r="L23" t="s">
        <v>130</v>
      </c>
    </row>
    <row r="24" spans="1:12" x14ac:dyDescent="0.25">
      <c r="A24" t="s">
        <v>274</v>
      </c>
      <c r="B24" t="s">
        <v>275</v>
      </c>
      <c r="D24" t="s">
        <v>274</v>
      </c>
      <c r="E24" t="s">
        <v>276</v>
      </c>
      <c r="F24" t="s">
        <v>276</v>
      </c>
      <c r="G24">
        <v>128</v>
      </c>
      <c r="H24" t="s">
        <v>275</v>
      </c>
      <c r="J24" t="s">
        <v>274</v>
      </c>
      <c r="K24" t="s">
        <v>276</v>
      </c>
      <c r="L24" t="s">
        <v>130</v>
      </c>
    </row>
    <row r="25" spans="1:12" x14ac:dyDescent="0.25">
      <c r="A25" t="s">
        <v>62</v>
      </c>
      <c r="B25" t="s">
        <v>80</v>
      </c>
      <c r="C25" t="s">
        <v>126</v>
      </c>
      <c r="D25" t="s">
        <v>62</v>
      </c>
      <c r="E25" t="s">
        <v>63</v>
      </c>
      <c r="F25" t="s">
        <v>63</v>
      </c>
      <c r="G25">
        <v>36</v>
      </c>
      <c r="H25" t="s">
        <v>80</v>
      </c>
      <c r="I25" t="s">
        <v>126</v>
      </c>
      <c r="J25" t="s">
        <v>62</v>
      </c>
      <c r="K25" t="s">
        <v>63</v>
      </c>
      <c r="L25" t="s">
        <v>130</v>
      </c>
    </row>
    <row r="26" spans="1:12" x14ac:dyDescent="0.25">
      <c r="A26" t="s">
        <v>277</v>
      </c>
      <c r="B26" t="s">
        <v>278</v>
      </c>
      <c r="C26" t="s">
        <v>279</v>
      </c>
      <c r="D26" t="s">
        <v>277</v>
      </c>
      <c r="E26" t="s">
        <v>280</v>
      </c>
      <c r="F26" t="s">
        <v>280</v>
      </c>
      <c r="G26">
        <v>143</v>
      </c>
      <c r="H26" t="s">
        <v>278</v>
      </c>
      <c r="I26" t="s">
        <v>279</v>
      </c>
      <c r="J26" t="s">
        <v>277</v>
      </c>
      <c r="K26" t="s">
        <v>280</v>
      </c>
      <c r="L26" t="s">
        <v>130</v>
      </c>
    </row>
    <row r="27" spans="1:12" x14ac:dyDescent="0.25">
      <c r="A27" t="s">
        <v>215</v>
      </c>
      <c r="B27" t="s">
        <v>222</v>
      </c>
      <c r="C27" t="s">
        <v>23</v>
      </c>
      <c r="D27" t="s">
        <v>215</v>
      </c>
      <c r="E27" t="s">
        <v>223</v>
      </c>
      <c r="F27" t="s">
        <v>223</v>
      </c>
      <c r="G27">
        <v>43</v>
      </c>
      <c r="H27" t="s">
        <v>222</v>
      </c>
      <c r="I27" t="s">
        <v>23</v>
      </c>
      <c r="J27" t="s">
        <v>215</v>
      </c>
      <c r="K27" t="s">
        <v>223</v>
      </c>
      <c r="L27" t="s">
        <v>130</v>
      </c>
    </row>
    <row r="28" spans="1:12" x14ac:dyDescent="0.25">
      <c r="A28" t="s">
        <v>231</v>
      </c>
      <c r="B28" t="s">
        <v>230</v>
      </c>
      <c r="C28" t="s">
        <v>127</v>
      </c>
      <c r="D28" t="s">
        <v>231</v>
      </c>
      <c r="E28" t="s">
        <v>24</v>
      </c>
      <c r="F28" t="s">
        <v>24</v>
      </c>
      <c r="G28">
        <v>95</v>
      </c>
      <c r="H28" t="s">
        <v>230</v>
      </c>
      <c r="I28" t="s">
        <v>127</v>
      </c>
      <c r="J28" t="s">
        <v>231</v>
      </c>
      <c r="K28" t="s">
        <v>24</v>
      </c>
      <c r="L28" t="s">
        <v>130</v>
      </c>
    </row>
    <row r="29" spans="1:12" x14ac:dyDescent="0.25">
      <c r="A29" t="s">
        <v>170</v>
      </c>
      <c r="B29" t="s">
        <v>169</v>
      </c>
      <c r="C29" t="s">
        <v>265</v>
      </c>
      <c r="D29" t="s">
        <v>170</v>
      </c>
      <c r="E29" t="s">
        <v>65</v>
      </c>
      <c r="F29" t="s">
        <v>65</v>
      </c>
      <c r="G29">
        <v>44</v>
      </c>
      <c r="H29" t="s">
        <v>169</v>
      </c>
      <c r="I29" t="s">
        <v>265</v>
      </c>
      <c r="J29" t="s">
        <v>170</v>
      </c>
      <c r="K29" t="s">
        <v>65</v>
      </c>
      <c r="L29" t="s">
        <v>130</v>
      </c>
    </row>
    <row r="30" spans="1:12" x14ac:dyDescent="0.25">
      <c r="A30" t="s">
        <v>27</v>
      </c>
      <c r="B30" t="s">
        <v>25</v>
      </c>
      <c r="C30" t="s">
        <v>26</v>
      </c>
      <c r="D30" t="s">
        <v>27</v>
      </c>
      <c r="E30" t="s">
        <v>25</v>
      </c>
      <c r="F30" t="s">
        <v>25</v>
      </c>
      <c r="G30">
        <v>49</v>
      </c>
      <c r="H30" t="s">
        <v>25</v>
      </c>
      <c r="I30" t="s">
        <v>26</v>
      </c>
      <c r="J30" t="s">
        <v>27</v>
      </c>
      <c r="K30" t="s">
        <v>25</v>
      </c>
      <c r="L30" t="s">
        <v>130</v>
      </c>
    </row>
    <row r="31" spans="1:12" x14ac:dyDescent="0.25">
      <c r="A31" t="s">
        <v>217</v>
      </c>
      <c r="B31" t="s">
        <v>216</v>
      </c>
      <c r="C31" t="s">
        <v>26</v>
      </c>
      <c r="D31" t="s">
        <v>217</v>
      </c>
      <c r="E31" t="s">
        <v>195</v>
      </c>
      <c r="F31" t="s">
        <v>195</v>
      </c>
      <c r="G31">
        <v>78</v>
      </c>
      <c r="H31" t="s">
        <v>216</v>
      </c>
      <c r="I31" t="s">
        <v>26</v>
      </c>
      <c r="J31" t="s">
        <v>217</v>
      </c>
      <c r="K31" t="s">
        <v>195</v>
      </c>
      <c r="L31" t="s">
        <v>130</v>
      </c>
    </row>
    <row r="32" spans="1:12" x14ac:dyDescent="0.25">
      <c r="A32" t="s">
        <v>266</v>
      </c>
      <c r="B32" t="s">
        <v>28</v>
      </c>
      <c r="C32" t="s">
        <v>29</v>
      </c>
      <c r="D32" t="s">
        <v>266</v>
      </c>
      <c r="E32" t="s">
        <v>30</v>
      </c>
      <c r="F32" t="s">
        <v>30</v>
      </c>
      <c r="G32">
        <v>50</v>
      </c>
      <c r="H32" t="s">
        <v>28</v>
      </c>
      <c r="I32" t="s">
        <v>29</v>
      </c>
      <c r="J32" t="s">
        <v>266</v>
      </c>
      <c r="K32" t="s">
        <v>30</v>
      </c>
      <c r="L32" t="s">
        <v>130</v>
      </c>
    </row>
    <row r="33" spans="1:12" x14ac:dyDescent="0.25">
      <c r="A33" t="s">
        <v>33</v>
      </c>
      <c r="B33" t="s">
        <v>31</v>
      </c>
      <c r="C33" t="s">
        <v>32</v>
      </c>
      <c r="D33" t="s">
        <v>33</v>
      </c>
      <c r="E33" t="s">
        <v>34</v>
      </c>
      <c r="F33" t="s">
        <v>34</v>
      </c>
      <c r="G33">
        <v>55</v>
      </c>
      <c r="H33" t="s">
        <v>31</v>
      </c>
      <c r="I33" t="s">
        <v>32</v>
      </c>
      <c r="J33" t="s">
        <v>33</v>
      </c>
      <c r="K33" t="s">
        <v>34</v>
      </c>
      <c r="L33" t="s">
        <v>130</v>
      </c>
    </row>
    <row r="34" spans="1:12" x14ac:dyDescent="0.25">
      <c r="A34" t="s">
        <v>37</v>
      </c>
      <c r="B34" t="s">
        <v>35</v>
      </c>
      <c r="C34" t="s">
        <v>36</v>
      </c>
      <c r="D34" t="s">
        <v>37</v>
      </c>
      <c r="E34" t="s">
        <v>35</v>
      </c>
      <c r="F34" t="s">
        <v>35</v>
      </c>
      <c r="G34">
        <v>58</v>
      </c>
      <c r="H34" t="s">
        <v>35</v>
      </c>
      <c r="I34" t="s">
        <v>36</v>
      </c>
      <c r="J34" t="s">
        <v>37</v>
      </c>
      <c r="K34" t="s">
        <v>35</v>
      </c>
      <c r="L34" t="s">
        <v>130</v>
      </c>
    </row>
    <row r="35" spans="1:12" x14ac:dyDescent="0.25">
      <c r="A35" t="s">
        <v>39</v>
      </c>
      <c r="B35" t="s">
        <v>38</v>
      </c>
      <c r="C35" t="s">
        <v>32</v>
      </c>
      <c r="D35" t="s">
        <v>39</v>
      </c>
      <c r="E35" t="s">
        <v>40</v>
      </c>
      <c r="F35" t="s">
        <v>40</v>
      </c>
      <c r="G35">
        <v>97</v>
      </c>
      <c r="H35" t="s">
        <v>38</v>
      </c>
      <c r="I35" t="s">
        <v>32</v>
      </c>
      <c r="J35" t="s">
        <v>39</v>
      </c>
      <c r="K35" t="s">
        <v>40</v>
      </c>
      <c r="L35" t="s">
        <v>130</v>
      </c>
    </row>
    <row r="36" spans="1:12" x14ac:dyDescent="0.25">
      <c r="A36" t="s">
        <v>233</v>
      </c>
      <c r="B36" t="s">
        <v>232</v>
      </c>
      <c r="D36" t="s">
        <v>233</v>
      </c>
      <c r="E36" t="s">
        <v>234</v>
      </c>
      <c r="F36" t="s">
        <v>234</v>
      </c>
      <c r="G36">
        <v>136</v>
      </c>
      <c r="H36" t="s">
        <v>232</v>
      </c>
      <c r="J36" t="s">
        <v>233</v>
      </c>
      <c r="K36" t="s">
        <v>234</v>
      </c>
      <c r="L36" t="s">
        <v>130</v>
      </c>
    </row>
    <row r="37" spans="1:12" x14ac:dyDescent="0.25">
      <c r="A37" t="s">
        <v>236</v>
      </c>
      <c r="B37" t="s">
        <v>235</v>
      </c>
      <c r="D37" t="s">
        <v>236</v>
      </c>
      <c r="E37" t="s">
        <v>237</v>
      </c>
      <c r="F37" t="s">
        <v>237</v>
      </c>
      <c r="G37">
        <v>137</v>
      </c>
      <c r="H37" t="s">
        <v>235</v>
      </c>
      <c r="J37" t="s">
        <v>236</v>
      </c>
      <c r="K37" t="s">
        <v>237</v>
      </c>
      <c r="L37" t="s">
        <v>130</v>
      </c>
    </row>
    <row r="38" spans="1:12" x14ac:dyDescent="0.25">
      <c r="A38" t="s">
        <v>281</v>
      </c>
      <c r="B38" t="s">
        <v>282</v>
      </c>
      <c r="D38" t="s">
        <v>281</v>
      </c>
      <c r="E38" t="s">
        <v>283</v>
      </c>
      <c r="F38" t="s">
        <v>283</v>
      </c>
      <c r="G38">
        <v>134</v>
      </c>
      <c r="H38" t="s">
        <v>282</v>
      </c>
      <c r="J38" t="s">
        <v>281</v>
      </c>
      <c r="K38" t="s">
        <v>283</v>
      </c>
      <c r="L38" t="s">
        <v>130</v>
      </c>
    </row>
    <row r="39" spans="1:12" x14ac:dyDescent="0.25">
      <c r="A39" t="s">
        <v>267</v>
      </c>
      <c r="B39" t="s">
        <v>268</v>
      </c>
      <c r="D39" t="s">
        <v>267</v>
      </c>
      <c r="E39" t="s">
        <v>269</v>
      </c>
      <c r="F39" t="s">
        <v>269</v>
      </c>
      <c r="G39">
        <v>141</v>
      </c>
      <c r="H39" t="s">
        <v>268</v>
      </c>
      <c r="J39" t="s">
        <v>267</v>
      </c>
      <c r="K39" t="s">
        <v>269</v>
      </c>
      <c r="L39" t="s">
        <v>130</v>
      </c>
    </row>
    <row r="40" spans="1:12" x14ac:dyDescent="0.25">
      <c r="A40" t="s">
        <v>238</v>
      </c>
      <c r="B40" t="s">
        <v>146</v>
      </c>
      <c r="C40" t="s">
        <v>147</v>
      </c>
      <c r="D40" t="s">
        <v>238</v>
      </c>
      <c r="E40" t="s">
        <v>148</v>
      </c>
      <c r="F40" t="s">
        <v>148</v>
      </c>
      <c r="G40">
        <v>106</v>
      </c>
      <c r="H40" t="s">
        <v>146</v>
      </c>
      <c r="I40" t="s">
        <v>147</v>
      </c>
      <c r="J40" t="s">
        <v>238</v>
      </c>
      <c r="K40" t="s">
        <v>148</v>
      </c>
      <c r="L40" t="s">
        <v>130</v>
      </c>
    </row>
    <row r="41" spans="1:12" x14ac:dyDescent="0.25">
      <c r="A41" t="s">
        <v>197</v>
      </c>
      <c r="B41" t="s">
        <v>196</v>
      </c>
      <c r="C41" t="s">
        <v>149</v>
      </c>
      <c r="D41" t="s">
        <v>197</v>
      </c>
      <c r="E41" t="s">
        <v>198</v>
      </c>
      <c r="F41" t="s">
        <v>198</v>
      </c>
      <c r="G41">
        <v>114</v>
      </c>
      <c r="H41" t="s">
        <v>196</v>
      </c>
      <c r="I41" t="s">
        <v>149</v>
      </c>
      <c r="J41" t="s">
        <v>197</v>
      </c>
      <c r="K41" t="s">
        <v>198</v>
      </c>
      <c r="L41" t="s">
        <v>130</v>
      </c>
    </row>
    <row r="42" spans="1:12" x14ac:dyDescent="0.25">
      <c r="A42" t="s">
        <v>239</v>
      </c>
      <c r="B42" t="s">
        <v>41</v>
      </c>
      <c r="C42" t="s">
        <v>199</v>
      </c>
      <c r="D42" t="s">
        <v>239</v>
      </c>
      <c r="E42" t="s">
        <v>41</v>
      </c>
      <c r="F42" t="s">
        <v>41</v>
      </c>
      <c r="G42">
        <v>99</v>
      </c>
      <c r="H42" t="s">
        <v>41</v>
      </c>
      <c r="I42" t="s">
        <v>199</v>
      </c>
      <c r="J42" t="s">
        <v>239</v>
      </c>
      <c r="K42" t="s">
        <v>41</v>
      </c>
      <c r="L42" t="s">
        <v>130</v>
      </c>
    </row>
    <row r="43" spans="1:12" x14ac:dyDescent="0.25">
      <c r="A43" t="s">
        <v>240</v>
      </c>
      <c r="B43" t="s">
        <v>42</v>
      </c>
      <c r="C43" t="s">
        <v>270</v>
      </c>
      <c r="D43" t="s">
        <v>240</v>
      </c>
      <c r="E43" t="s">
        <v>42</v>
      </c>
      <c r="F43" t="s">
        <v>42</v>
      </c>
      <c r="G43">
        <v>72</v>
      </c>
      <c r="H43" t="s">
        <v>42</v>
      </c>
      <c r="I43" t="s">
        <v>270</v>
      </c>
      <c r="J43" t="s">
        <v>240</v>
      </c>
      <c r="K43" t="s">
        <v>42</v>
      </c>
      <c r="L43" t="s">
        <v>130</v>
      </c>
    </row>
  </sheetData>
  <pageMargins left="0.7" right="0.7" top="0.75" bottom="0.75" header="0.3" footer="0.3"/>
  <pageSetup paperSize="8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CR80"/>
  <sheetViews>
    <sheetView zoomScale="150" zoomScaleNormal="150" workbookViewId="0">
      <pane xSplit="5" ySplit="2" topLeftCell="F49" activePane="bottomRight" state="frozenSplit"/>
      <selection pane="topRight" activeCell="J1" sqref="J1"/>
      <selection pane="bottomLeft" activeCell="A17" sqref="A17"/>
      <selection pane="bottomRight" activeCell="N69" sqref="N69:AI69"/>
    </sheetView>
  </sheetViews>
  <sheetFormatPr baseColWidth="10" defaultRowHeight="15" x14ac:dyDescent="0.25"/>
  <cols>
    <col min="1" max="1" width="6.28515625" customWidth="1"/>
    <col min="2" max="2" width="18.85546875" customWidth="1"/>
    <col min="3" max="3" width="12.28515625" customWidth="1"/>
    <col min="4" max="4" width="26.28515625" style="29" hidden="1" customWidth="1"/>
    <col min="5" max="5" width="10.7109375" hidden="1" customWidth="1"/>
    <col min="6" max="7" width="6.85546875" customWidth="1"/>
    <col min="8" max="29" width="6.140625" customWidth="1"/>
    <col min="30" max="43" width="7.28515625" customWidth="1"/>
    <col min="44" max="44" width="7.140625" customWidth="1"/>
  </cols>
  <sheetData>
    <row r="1" spans="1:96" x14ac:dyDescent="0.25">
      <c r="F1" s="90" t="s">
        <v>187</v>
      </c>
      <c r="G1" s="91"/>
      <c r="H1" s="92" t="s">
        <v>124</v>
      </c>
      <c r="I1" s="91"/>
      <c r="J1" s="90" t="s">
        <v>46</v>
      </c>
      <c r="K1" s="91"/>
      <c r="L1" s="92" t="s">
        <v>47</v>
      </c>
      <c r="M1" s="91"/>
      <c r="N1" s="93" t="s">
        <v>188</v>
      </c>
      <c r="O1" s="94"/>
      <c r="P1" s="88" t="s">
        <v>189</v>
      </c>
      <c r="Q1" s="89"/>
      <c r="R1" s="88" t="s">
        <v>218</v>
      </c>
      <c r="S1" s="89"/>
      <c r="T1" s="88" t="s">
        <v>50</v>
      </c>
      <c r="U1" s="89"/>
      <c r="V1" s="88" t="s">
        <v>51</v>
      </c>
      <c r="W1" s="89"/>
      <c r="X1" s="93" t="s">
        <v>137</v>
      </c>
      <c r="Y1" s="94"/>
      <c r="Z1" s="88" t="s">
        <v>132</v>
      </c>
      <c r="AA1" s="89"/>
      <c r="AB1" s="88" t="s">
        <v>125</v>
      </c>
      <c r="AC1" s="89"/>
      <c r="AD1" s="88" t="s">
        <v>54</v>
      </c>
      <c r="AE1" s="89"/>
      <c r="AF1" s="88" t="s">
        <v>55</v>
      </c>
      <c r="AG1" s="89"/>
      <c r="AH1" s="93" t="s">
        <v>138</v>
      </c>
      <c r="AI1" s="94"/>
      <c r="AJ1" s="88" t="s">
        <v>133</v>
      </c>
      <c r="AK1" s="89"/>
      <c r="AL1" s="88"/>
      <c r="AM1" s="89"/>
      <c r="AN1" s="88"/>
      <c r="AO1" s="89"/>
      <c r="AP1" s="57"/>
      <c r="AQ1" s="57"/>
      <c r="AR1" s="88" t="s">
        <v>133</v>
      </c>
      <c r="AS1" s="89"/>
    </row>
    <row r="2" spans="1:96" x14ac:dyDescent="0.25">
      <c r="A2" s="35" t="s">
        <v>0</v>
      </c>
      <c r="B2" s="35" t="s">
        <v>134</v>
      </c>
      <c r="C2" s="35" t="s">
        <v>135</v>
      </c>
      <c r="D2" s="35" t="s">
        <v>136</v>
      </c>
      <c r="E2" s="35" t="s">
        <v>3</v>
      </c>
      <c r="F2" s="8" t="s">
        <v>66</v>
      </c>
      <c r="G2" s="8" t="s">
        <v>67</v>
      </c>
      <c r="H2" s="20" t="s">
        <v>66</v>
      </c>
      <c r="I2" s="20" t="s">
        <v>67</v>
      </c>
      <c r="J2" s="8" t="s">
        <v>66</v>
      </c>
      <c r="K2" s="8" t="s">
        <v>67</v>
      </c>
      <c r="L2" s="20" t="s">
        <v>66</v>
      </c>
      <c r="M2" s="20" t="s">
        <v>67</v>
      </c>
      <c r="N2" s="8" t="s">
        <v>66</v>
      </c>
      <c r="O2" s="8" t="s">
        <v>67</v>
      </c>
      <c r="P2" s="20" t="s">
        <v>66</v>
      </c>
      <c r="Q2" s="20" t="s">
        <v>67</v>
      </c>
      <c r="R2" s="8" t="s">
        <v>66</v>
      </c>
      <c r="S2" s="8" t="s">
        <v>67</v>
      </c>
      <c r="T2" s="20" t="s">
        <v>66</v>
      </c>
      <c r="U2" s="20" t="s">
        <v>67</v>
      </c>
      <c r="V2" s="8" t="s">
        <v>66</v>
      </c>
      <c r="W2" s="8" t="s">
        <v>67</v>
      </c>
      <c r="X2" s="20" t="s">
        <v>66</v>
      </c>
      <c r="Y2" s="20" t="s">
        <v>67</v>
      </c>
      <c r="Z2" s="8" t="s">
        <v>66</v>
      </c>
      <c r="AA2" s="8" t="s">
        <v>67</v>
      </c>
      <c r="AB2" s="20" t="s">
        <v>66</v>
      </c>
      <c r="AC2" s="20" t="s">
        <v>67</v>
      </c>
      <c r="AD2" s="8" t="s">
        <v>66</v>
      </c>
      <c r="AE2" s="8" t="s">
        <v>67</v>
      </c>
      <c r="AF2" s="20" t="s">
        <v>66</v>
      </c>
      <c r="AG2" s="20" t="s">
        <v>67</v>
      </c>
      <c r="AH2" s="8" t="s">
        <v>66</v>
      </c>
      <c r="AI2" s="8" t="s">
        <v>67</v>
      </c>
      <c r="AJ2" s="20" t="s">
        <v>66</v>
      </c>
      <c r="AK2" s="20" t="s">
        <v>67</v>
      </c>
      <c r="AL2" s="8"/>
      <c r="AM2" s="8"/>
      <c r="AN2" s="20"/>
      <c r="AO2" s="20"/>
      <c r="AP2" s="39"/>
      <c r="AQ2" s="39"/>
    </row>
    <row r="3" spans="1:96" ht="16.5" customHeight="1" x14ac:dyDescent="0.25">
      <c r="A3">
        <v>105</v>
      </c>
      <c r="B3" t="s">
        <v>411</v>
      </c>
      <c r="C3" t="s">
        <v>412</v>
      </c>
      <c r="D3" t="s">
        <v>177</v>
      </c>
      <c r="E3" t="s">
        <v>178</v>
      </c>
      <c r="F3" s="48" t="s">
        <v>128</v>
      </c>
      <c r="G3" s="4" t="s">
        <v>114</v>
      </c>
      <c r="H3" s="9" t="s">
        <v>128</v>
      </c>
      <c r="I3" s="9" t="s">
        <v>114</v>
      </c>
      <c r="J3" s="4"/>
      <c r="K3" s="4"/>
      <c r="L3" s="9"/>
      <c r="M3" s="9"/>
      <c r="N3" s="4"/>
      <c r="O3" s="4"/>
      <c r="P3" s="52"/>
      <c r="Q3" s="52"/>
      <c r="R3" s="4" t="s">
        <v>10</v>
      </c>
      <c r="S3" s="4" t="s">
        <v>114</v>
      </c>
      <c r="T3" s="9" t="s">
        <v>10</v>
      </c>
      <c r="U3" s="9" t="s">
        <v>114</v>
      </c>
      <c r="V3" s="4"/>
      <c r="W3" s="4"/>
      <c r="X3" s="9"/>
      <c r="Y3" s="9"/>
      <c r="Z3" s="4"/>
      <c r="AA3" s="4"/>
      <c r="AB3" s="9"/>
      <c r="AC3" s="9"/>
      <c r="AD3" s="4"/>
      <c r="AE3" s="4"/>
      <c r="AF3" s="9"/>
      <c r="AG3" s="9"/>
      <c r="AH3" s="4"/>
      <c r="AI3" s="4"/>
      <c r="AJ3" s="9"/>
      <c r="AK3" s="9"/>
      <c r="AL3" s="4"/>
      <c r="AM3" s="41"/>
      <c r="AN3" s="9"/>
      <c r="AO3" s="9"/>
      <c r="AP3" s="43"/>
      <c r="AQ3" s="43"/>
      <c r="AR3">
        <f t="shared" ref="AR3:AR34" si="0">COUNTA(F3,H3,J3,L3,N3,P3,R3,T3,V3,X3,Z3,AB3,AD3,AF3,AH3,AJ3,AL3,AN3)</f>
        <v>4</v>
      </c>
    </row>
    <row r="4" spans="1:96" s="24" customFormat="1" ht="16.5" customHeight="1" x14ac:dyDescent="0.25">
      <c r="A4">
        <v>410</v>
      </c>
      <c r="B4" t="s">
        <v>413</v>
      </c>
      <c r="C4" t="s">
        <v>414</v>
      </c>
      <c r="D4" t="s">
        <v>169</v>
      </c>
      <c r="E4" t="s">
        <v>170</v>
      </c>
      <c r="F4" s="48" t="s">
        <v>41</v>
      </c>
      <c r="G4" s="4" t="s">
        <v>114</v>
      </c>
      <c r="H4" s="9" t="s">
        <v>41</v>
      </c>
      <c r="I4" s="9" t="s">
        <v>114</v>
      </c>
      <c r="J4" s="4"/>
      <c r="K4" s="4"/>
      <c r="L4" s="9"/>
      <c r="M4" s="9"/>
      <c r="N4" s="4"/>
      <c r="O4" s="4"/>
      <c r="P4" s="52"/>
      <c r="Q4" s="52"/>
      <c r="R4" s="4"/>
      <c r="S4" s="4"/>
      <c r="T4" s="9" t="s">
        <v>234</v>
      </c>
      <c r="U4" s="9" t="s">
        <v>114</v>
      </c>
      <c r="V4" s="4"/>
      <c r="W4" s="4"/>
      <c r="X4" s="9"/>
      <c r="Y4" s="9"/>
      <c r="Z4" s="4"/>
      <c r="AA4" s="4"/>
      <c r="AB4" s="9"/>
      <c r="AC4" s="9"/>
      <c r="AD4" s="4"/>
      <c r="AE4" s="4"/>
      <c r="AF4" s="9"/>
      <c r="AG4" s="9"/>
      <c r="AH4" s="4"/>
      <c r="AI4" s="4"/>
      <c r="AJ4" s="9" t="s">
        <v>40</v>
      </c>
      <c r="AK4" s="9" t="s">
        <v>114</v>
      </c>
      <c r="AL4" s="4"/>
      <c r="AM4" s="41"/>
      <c r="AN4" s="9"/>
      <c r="AO4" s="9"/>
      <c r="AP4" s="43"/>
      <c r="AQ4" s="43"/>
      <c r="AR4">
        <f t="shared" si="0"/>
        <v>4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</row>
    <row r="5" spans="1:96" s="24" customFormat="1" ht="16.5" customHeight="1" x14ac:dyDescent="0.25">
      <c r="A5">
        <v>302</v>
      </c>
      <c r="B5" t="s">
        <v>415</v>
      </c>
      <c r="C5" t="s">
        <v>416</v>
      </c>
      <c r="D5" t="s">
        <v>181</v>
      </c>
      <c r="E5" t="s">
        <v>182</v>
      </c>
      <c r="F5" s="78"/>
      <c r="G5" s="75"/>
      <c r="H5" s="75"/>
      <c r="I5" s="75"/>
      <c r="J5" s="75" t="s">
        <v>237</v>
      </c>
      <c r="K5" s="75" t="s">
        <v>115</v>
      </c>
      <c r="L5" s="9"/>
      <c r="M5" s="9"/>
      <c r="N5" s="4"/>
      <c r="O5" s="4"/>
      <c r="P5" s="52"/>
      <c r="Q5" s="52"/>
      <c r="R5" s="4"/>
      <c r="S5" s="4"/>
      <c r="T5" s="9"/>
      <c r="U5" s="9"/>
      <c r="V5" s="64"/>
      <c r="W5" s="64"/>
      <c r="X5" s="10" t="s">
        <v>192</v>
      </c>
      <c r="Y5" s="10" t="s">
        <v>114</v>
      </c>
      <c r="Z5" s="10" t="s">
        <v>192</v>
      </c>
      <c r="AA5" s="10" t="s">
        <v>114</v>
      </c>
      <c r="AB5" s="9"/>
      <c r="AC5" s="9"/>
      <c r="AD5" s="12"/>
      <c r="AE5" s="12"/>
      <c r="AF5" s="12"/>
      <c r="AG5" s="12"/>
      <c r="AH5" s="12"/>
      <c r="AI5" s="12"/>
      <c r="AJ5" s="9"/>
      <c r="AK5" s="9"/>
      <c r="AL5" s="4"/>
      <c r="AM5" s="41"/>
      <c r="AN5" s="9"/>
      <c r="AO5" s="9"/>
      <c r="AP5" s="43"/>
      <c r="AQ5" s="43"/>
      <c r="AR5">
        <f t="shared" si="0"/>
        <v>3</v>
      </c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</row>
    <row r="6" spans="1:96" ht="16.5" customHeight="1" x14ac:dyDescent="0.25">
      <c r="A6">
        <v>438</v>
      </c>
      <c r="B6" t="s">
        <v>417</v>
      </c>
      <c r="C6" t="s">
        <v>418</v>
      </c>
      <c r="D6" t="s">
        <v>166</v>
      </c>
      <c r="E6" t="s">
        <v>167</v>
      </c>
      <c r="F6" s="48" t="s">
        <v>128</v>
      </c>
      <c r="G6" s="4" t="s">
        <v>115</v>
      </c>
      <c r="H6" s="9" t="s">
        <v>128</v>
      </c>
      <c r="I6" s="9" t="s">
        <v>115</v>
      </c>
      <c r="J6" s="4"/>
      <c r="K6" s="4"/>
      <c r="L6" s="9"/>
      <c r="M6" s="9"/>
      <c r="N6" s="4"/>
      <c r="O6" s="4"/>
      <c r="P6" s="52"/>
      <c r="Q6" s="52"/>
      <c r="R6" s="4"/>
      <c r="S6" s="4"/>
      <c r="T6" s="9"/>
      <c r="U6" s="9"/>
      <c r="V6" s="4"/>
      <c r="W6" s="4"/>
      <c r="X6" s="9"/>
      <c r="Y6" s="9"/>
      <c r="Z6" s="4"/>
      <c r="AA6" s="4"/>
      <c r="AB6" s="9"/>
      <c r="AC6" s="9"/>
      <c r="AD6" s="4" t="s">
        <v>14</v>
      </c>
      <c r="AE6" s="4" t="s">
        <v>115</v>
      </c>
      <c r="AF6" s="9" t="s">
        <v>14</v>
      </c>
      <c r="AG6" s="9" t="s">
        <v>115</v>
      </c>
      <c r="AH6" s="4" t="s">
        <v>14</v>
      </c>
      <c r="AI6" s="4" t="s">
        <v>115</v>
      </c>
      <c r="AJ6" s="9"/>
      <c r="AK6" s="9"/>
      <c r="AL6" s="4"/>
      <c r="AM6" s="41"/>
      <c r="AN6" s="9"/>
      <c r="AO6" s="9"/>
      <c r="AP6" s="43"/>
      <c r="AQ6" s="43"/>
      <c r="AR6">
        <f t="shared" si="0"/>
        <v>5</v>
      </c>
    </row>
    <row r="7" spans="1:96" ht="16.5" customHeight="1" x14ac:dyDescent="0.25">
      <c r="A7">
        <v>123</v>
      </c>
      <c r="B7" t="s">
        <v>419</v>
      </c>
      <c r="C7" t="s">
        <v>420</v>
      </c>
      <c r="D7" t="s">
        <v>175</v>
      </c>
      <c r="E7" t="s">
        <v>176</v>
      </c>
      <c r="F7" s="62"/>
      <c r="G7" s="12"/>
      <c r="H7" s="12"/>
      <c r="I7" s="12"/>
      <c r="J7" s="12"/>
      <c r="K7" s="12"/>
      <c r="L7" s="12"/>
      <c r="M7" s="12" t="s">
        <v>115</v>
      </c>
      <c r="N7" s="12"/>
      <c r="O7" s="12"/>
      <c r="P7" s="60"/>
      <c r="Q7" s="60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4"/>
      <c r="AM7" s="41"/>
      <c r="AN7" s="9"/>
      <c r="AO7" s="9"/>
      <c r="AP7" s="43"/>
      <c r="AQ7" s="43"/>
      <c r="AR7">
        <f t="shared" si="0"/>
        <v>0</v>
      </c>
    </row>
    <row r="8" spans="1:96" s="23" customFormat="1" ht="16.5" customHeight="1" x14ac:dyDescent="0.25">
      <c r="A8">
        <v>415</v>
      </c>
      <c r="B8" t="s">
        <v>421</v>
      </c>
      <c r="C8" t="s">
        <v>183</v>
      </c>
      <c r="D8" t="s">
        <v>175</v>
      </c>
      <c r="E8" t="s">
        <v>176</v>
      </c>
      <c r="F8" s="62"/>
      <c r="G8" s="12"/>
      <c r="H8" s="12"/>
      <c r="I8" s="12"/>
      <c r="J8" s="12"/>
      <c r="K8" s="12"/>
      <c r="L8" s="12"/>
      <c r="M8" s="12"/>
      <c r="N8" s="12"/>
      <c r="O8" s="12"/>
      <c r="P8" s="60"/>
      <c r="Q8" s="60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63"/>
      <c r="AE8" s="63"/>
      <c r="AF8" s="63"/>
      <c r="AG8" s="63"/>
      <c r="AH8" s="63"/>
      <c r="AI8" s="63"/>
      <c r="AJ8" s="63"/>
      <c r="AK8" s="63"/>
      <c r="AL8" s="4"/>
      <c r="AM8" s="42"/>
      <c r="AN8" s="45"/>
      <c r="AO8" s="45"/>
      <c r="AP8" s="47"/>
      <c r="AQ8" s="47"/>
      <c r="AR8">
        <f t="shared" si="0"/>
        <v>0</v>
      </c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</row>
    <row r="9" spans="1:96" ht="16.5" customHeight="1" x14ac:dyDescent="0.25">
      <c r="A9">
        <v>22</v>
      </c>
      <c r="B9" t="s">
        <v>422</v>
      </c>
      <c r="C9" t="s">
        <v>423</v>
      </c>
      <c r="D9" t="s">
        <v>80</v>
      </c>
      <c r="E9" t="s">
        <v>62</v>
      </c>
      <c r="F9" s="62"/>
      <c r="G9" s="12"/>
      <c r="H9" s="12"/>
      <c r="I9" s="12"/>
      <c r="J9" s="12"/>
      <c r="K9" s="12"/>
      <c r="L9" s="12"/>
      <c r="M9" s="12"/>
      <c r="N9" s="12"/>
      <c r="O9" s="12"/>
      <c r="P9" s="60"/>
      <c r="Q9" s="60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4"/>
      <c r="AM9" s="41"/>
      <c r="AN9" s="9"/>
      <c r="AO9" s="9"/>
      <c r="AP9" s="43"/>
      <c r="AQ9" s="43"/>
      <c r="AR9">
        <f t="shared" si="0"/>
        <v>0</v>
      </c>
    </row>
    <row r="10" spans="1:96" ht="16.5" customHeight="1" x14ac:dyDescent="0.25">
      <c r="A10">
        <v>400</v>
      </c>
      <c r="B10" t="s">
        <v>424</v>
      </c>
      <c r="C10" t="s">
        <v>425</v>
      </c>
      <c r="D10" t="s">
        <v>74</v>
      </c>
      <c r="E10" t="s">
        <v>75</v>
      </c>
      <c r="F10" s="48"/>
      <c r="G10" s="4"/>
      <c r="H10" s="9"/>
      <c r="I10" s="9"/>
      <c r="J10" s="4" t="s">
        <v>128</v>
      </c>
      <c r="K10" s="4" t="s">
        <v>115</v>
      </c>
      <c r="L10" s="9" t="s">
        <v>128</v>
      </c>
      <c r="M10" s="9" t="s">
        <v>115</v>
      </c>
      <c r="N10" s="4"/>
      <c r="O10" s="4"/>
      <c r="P10" s="52"/>
      <c r="Q10" s="52"/>
      <c r="R10" s="4"/>
      <c r="S10" s="4"/>
      <c r="T10" s="9"/>
      <c r="U10" s="9"/>
      <c r="V10" s="4" t="s">
        <v>10</v>
      </c>
      <c r="W10" s="4" t="s">
        <v>114</v>
      </c>
      <c r="X10" s="9" t="s">
        <v>10</v>
      </c>
      <c r="Y10" s="9" t="s">
        <v>114</v>
      </c>
      <c r="Z10" s="4"/>
      <c r="AA10" s="4"/>
      <c r="AB10" s="9"/>
      <c r="AC10" s="9"/>
      <c r="AD10" s="4"/>
      <c r="AE10" s="4"/>
      <c r="AF10" s="9"/>
      <c r="AG10" s="9"/>
      <c r="AH10" s="4"/>
      <c r="AI10" s="4"/>
      <c r="AJ10" s="9"/>
      <c r="AK10" s="9"/>
      <c r="AL10" s="4"/>
      <c r="AM10" s="41"/>
      <c r="AN10" s="9"/>
      <c r="AO10" s="9"/>
      <c r="AP10" s="43"/>
      <c r="AQ10" s="43"/>
      <c r="AR10">
        <f t="shared" si="0"/>
        <v>4</v>
      </c>
    </row>
    <row r="11" spans="1:96" ht="16.5" customHeight="1" x14ac:dyDescent="0.25">
      <c r="A11">
        <v>110</v>
      </c>
      <c r="B11" t="s">
        <v>426</v>
      </c>
      <c r="C11" t="s">
        <v>427</v>
      </c>
      <c r="D11" t="s">
        <v>181</v>
      </c>
      <c r="E11" t="s">
        <v>182</v>
      </c>
      <c r="F11" s="48"/>
      <c r="G11" s="4"/>
      <c r="H11" s="9"/>
      <c r="I11" s="9"/>
      <c r="J11" s="4" t="s">
        <v>41</v>
      </c>
      <c r="K11" s="4" t="s">
        <v>114</v>
      </c>
      <c r="L11" s="9" t="s">
        <v>41</v>
      </c>
      <c r="M11" s="9" t="s">
        <v>114</v>
      </c>
      <c r="N11" s="4"/>
      <c r="O11" s="4"/>
      <c r="P11" s="52"/>
      <c r="Q11" s="52"/>
      <c r="R11" s="4"/>
      <c r="S11" s="4"/>
      <c r="T11" s="75" t="s">
        <v>41</v>
      </c>
      <c r="U11" s="75" t="s">
        <v>115</v>
      </c>
      <c r="V11" s="4"/>
      <c r="W11" s="4"/>
      <c r="X11" s="9"/>
      <c r="Y11" s="9"/>
      <c r="Z11" s="4"/>
      <c r="AA11" s="4"/>
      <c r="AB11" s="9" t="s">
        <v>40</v>
      </c>
      <c r="AC11" s="9" t="s">
        <v>115</v>
      </c>
      <c r="AD11" s="4" t="s">
        <v>40</v>
      </c>
      <c r="AE11" s="4" t="s">
        <v>115</v>
      </c>
      <c r="AF11" s="9"/>
      <c r="AG11" s="9"/>
      <c r="AH11" s="4"/>
      <c r="AI11" s="4"/>
      <c r="AJ11" s="9"/>
      <c r="AK11" s="9"/>
      <c r="AL11" s="4"/>
      <c r="AM11" s="41"/>
      <c r="AN11" s="9"/>
      <c r="AO11" s="9"/>
      <c r="AP11" s="43"/>
      <c r="AQ11" s="43"/>
      <c r="AR11">
        <f t="shared" si="0"/>
        <v>5</v>
      </c>
    </row>
    <row r="12" spans="1:96" s="22" customFormat="1" ht="16.5" customHeight="1" x14ac:dyDescent="0.25">
      <c r="A12">
        <v>555</v>
      </c>
      <c r="B12" t="s">
        <v>428</v>
      </c>
      <c r="C12" t="s">
        <v>429</v>
      </c>
      <c r="D12" t="s">
        <v>247</v>
      </c>
      <c r="E12" t="s">
        <v>248</v>
      </c>
      <c r="F12" s="62"/>
      <c r="G12" s="12"/>
      <c r="H12" s="12"/>
      <c r="I12" s="12"/>
      <c r="J12" s="12"/>
      <c r="K12" s="12"/>
      <c r="L12" s="12"/>
      <c r="M12" s="12"/>
      <c r="N12" s="12"/>
      <c r="O12" s="12"/>
      <c r="P12" s="60"/>
      <c r="Q12" s="60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59"/>
      <c r="AN12" s="12"/>
      <c r="AO12" s="12"/>
      <c r="AP12" s="59"/>
      <c r="AQ12" s="59"/>
      <c r="AR12" s="14">
        <f t="shared" si="0"/>
        <v>0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</row>
    <row r="13" spans="1:96" s="16" customFormat="1" ht="16.5" customHeight="1" x14ac:dyDescent="0.25">
      <c r="A13">
        <v>564</v>
      </c>
      <c r="B13" t="s">
        <v>430</v>
      </c>
      <c r="C13" t="s">
        <v>431</v>
      </c>
      <c r="D13" t="s">
        <v>83</v>
      </c>
      <c r="E13" t="s">
        <v>84</v>
      </c>
      <c r="F13" s="48"/>
      <c r="G13" s="4"/>
      <c r="H13" s="9"/>
      <c r="I13" s="9"/>
      <c r="J13" s="4"/>
      <c r="K13" s="4"/>
      <c r="L13" s="9"/>
      <c r="M13" s="9"/>
      <c r="N13" s="4"/>
      <c r="O13" s="4"/>
      <c r="P13" s="52"/>
      <c r="Q13" s="52"/>
      <c r="R13" s="4"/>
      <c r="S13" s="4"/>
      <c r="T13" s="9"/>
      <c r="U13" s="9"/>
      <c r="V13" s="4"/>
      <c r="W13" s="4"/>
      <c r="X13" s="9"/>
      <c r="Y13" s="9"/>
      <c r="Z13" s="4" t="s">
        <v>65</v>
      </c>
      <c r="AA13" s="4" t="s">
        <v>114</v>
      </c>
      <c r="AB13" s="9" t="s">
        <v>65</v>
      </c>
      <c r="AC13" s="9" t="s">
        <v>114</v>
      </c>
      <c r="AD13" s="54"/>
      <c r="AE13" s="54"/>
      <c r="AF13" s="45"/>
      <c r="AG13" s="45"/>
      <c r="AH13" s="54" t="s">
        <v>65</v>
      </c>
      <c r="AI13" s="54" t="s">
        <v>114</v>
      </c>
      <c r="AJ13" s="45" t="s">
        <v>65</v>
      </c>
      <c r="AK13" s="45" t="s">
        <v>114</v>
      </c>
      <c r="AL13" s="4"/>
      <c r="AM13" s="42"/>
      <c r="AN13" s="45"/>
      <c r="AO13" s="45"/>
      <c r="AP13" s="47"/>
      <c r="AQ13" s="47"/>
      <c r="AR13">
        <f t="shared" si="0"/>
        <v>4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</row>
    <row r="14" spans="1:96" s="24" customFormat="1" ht="16.5" customHeight="1" x14ac:dyDescent="0.25">
      <c r="A14">
        <v>453</v>
      </c>
      <c r="B14" t="s">
        <v>432</v>
      </c>
      <c r="C14" t="s">
        <v>433</v>
      </c>
      <c r="D14" t="s">
        <v>150</v>
      </c>
      <c r="E14" t="s">
        <v>151</v>
      </c>
      <c r="F14" s="48"/>
      <c r="G14" s="4"/>
      <c r="H14" s="9"/>
      <c r="I14" s="9"/>
      <c r="J14" s="4"/>
      <c r="K14" s="4"/>
      <c r="L14" s="9" t="s">
        <v>41</v>
      </c>
      <c r="M14" s="9" t="s">
        <v>115</v>
      </c>
      <c r="N14" s="4" t="s">
        <v>128</v>
      </c>
      <c r="O14" s="4" t="s">
        <v>115</v>
      </c>
      <c r="P14" s="52" t="s">
        <v>128</v>
      </c>
      <c r="Q14" s="52" t="s">
        <v>115</v>
      </c>
      <c r="R14" s="4"/>
      <c r="S14" s="4"/>
      <c r="T14" s="9"/>
      <c r="U14" s="9"/>
      <c r="V14" s="4" t="s">
        <v>10</v>
      </c>
      <c r="W14" s="4" t="s">
        <v>115</v>
      </c>
      <c r="X14" s="9"/>
      <c r="Y14" s="9"/>
      <c r="Z14" s="4"/>
      <c r="AA14" s="4"/>
      <c r="AB14" s="9"/>
      <c r="AC14" s="9"/>
      <c r="AD14" s="4"/>
      <c r="AE14" s="4"/>
      <c r="AF14" s="9"/>
      <c r="AG14" s="9"/>
      <c r="AH14" s="4"/>
      <c r="AI14" s="4"/>
      <c r="AJ14" s="9" t="s">
        <v>273</v>
      </c>
      <c r="AK14" s="9" t="s">
        <v>114</v>
      </c>
      <c r="AL14" s="4"/>
      <c r="AM14" s="41"/>
      <c r="AN14" s="9"/>
      <c r="AO14" s="9"/>
      <c r="AP14" s="43"/>
      <c r="AQ14" s="43"/>
      <c r="AR14">
        <f t="shared" si="0"/>
        <v>5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</row>
    <row r="15" spans="1:96" ht="16.5" customHeight="1" x14ac:dyDescent="0.25">
      <c r="A15">
        <v>118</v>
      </c>
      <c r="B15" t="s">
        <v>434</v>
      </c>
      <c r="C15" t="s">
        <v>435</v>
      </c>
      <c r="D15" t="s">
        <v>99</v>
      </c>
      <c r="E15" t="s">
        <v>100</v>
      </c>
      <c r="F15" s="48"/>
      <c r="G15" s="4"/>
      <c r="H15" s="80" t="s">
        <v>41</v>
      </c>
      <c r="I15" s="80" t="s">
        <v>115</v>
      </c>
      <c r="J15" s="4" t="s">
        <v>41</v>
      </c>
      <c r="K15" s="4" t="s">
        <v>115</v>
      </c>
      <c r="L15" s="9"/>
      <c r="M15" s="9"/>
      <c r="N15" s="4"/>
      <c r="O15" s="4"/>
      <c r="P15" s="52"/>
      <c r="Q15" s="52"/>
      <c r="R15" s="69" t="s">
        <v>128</v>
      </c>
      <c r="S15" s="69" t="s">
        <v>115</v>
      </c>
      <c r="T15" s="69" t="s">
        <v>128</v>
      </c>
      <c r="U15" s="69" t="s">
        <v>115</v>
      </c>
      <c r="V15" s="10" t="s">
        <v>34</v>
      </c>
      <c r="W15" s="10" t="s">
        <v>114</v>
      </c>
      <c r="X15" s="10" t="s">
        <v>34</v>
      </c>
      <c r="Y15" s="10" t="s">
        <v>114</v>
      </c>
      <c r="Z15" s="4"/>
      <c r="AA15" s="4"/>
      <c r="AB15" s="9"/>
      <c r="AC15" s="9"/>
      <c r="AD15" s="4"/>
      <c r="AE15" s="4"/>
      <c r="AF15" s="12"/>
      <c r="AG15" s="12"/>
      <c r="AH15" s="12"/>
      <c r="AI15" s="12"/>
      <c r="AJ15" s="9"/>
      <c r="AK15" s="9"/>
      <c r="AL15" s="4"/>
      <c r="AM15" s="41"/>
      <c r="AN15" s="9"/>
      <c r="AO15" s="9"/>
      <c r="AP15" s="43"/>
      <c r="AQ15" s="43"/>
      <c r="AR15">
        <f t="shared" si="0"/>
        <v>6</v>
      </c>
    </row>
    <row r="16" spans="1:96" s="16" customFormat="1" ht="16.5" customHeight="1" x14ac:dyDescent="0.25">
      <c r="A16">
        <v>102</v>
      </c>
      <c r="B16" t="s">
        <v>436</v>
      </c>
      <c r="C16" t="s">
        <v>73</v>
      </c>
      <c r="D16" t="s">
        <v>150</v>
      </c>
      <c r="E16" t="s">
        <v>151</v>
      </c>
      <c r="F16" s="48"/>
      <c r="G16" s="4"/>
      <c r="H16" s="9"/>
      <c r="I16" s="9"/>
      <c r="J16" s="4"/>
      <c r="K16" s="4"/>
      <c r="L16" s="9"/>
      <c r="M16" s="9"/>
      <c r="N16" s="4" t="s">
        <v>41</v>
      </c>
      <c r="O16" s="4" t="s">
        <v>114</v>
      </c>
      <c r="P16" s="52"/>
      <c r="Q16" s="52"/>
      <c r="R16" s="4"/>
      <c r="S16" s="4"/>
      <c r="T16" s="9"/>
      <c r="U16" s="9"/>
      <c r="V16" s="4"/>
      <c r="W16" s="4"/>
      <c r="X16" s="9" t="s">
        <v>143</v>
      </c>
      <c r="Y16" s="9" t="s">
        <v>114</v>
      </c>
      <c r="Z16" s="4" t="s">
        <v>143</v>
      </c>
      <c r="AA16" s="4" t="s">
        <v>114</v>
      </c>
      <c r="AB16" s="9"/>
      <c r="AC16" s="9"/>
      <c r="AD16" s="4"/>
      <c r="AE16" s="4"/>
      <c r="AF16" s="9" t="s">
        <v>40</v>
      </c>
      <c r="AG16" s="9" t="s">
        <v>115</v>
      </c>
      <c r="AH16" s="4" t="s">
        <v>40</v>
      </c>
      <c r="AI16" s="4" t="s">
        <v>115</v>
      </c>
      <c r="AJ16" s="9"/>
      <c r="AK16" s="9"/>
      <c r="AL16" s="4"/>
      <c r="AM16" s="41"/>
      <c r="AN16" s="9"/>
      <c r="AO16" s="9"/>
      <c r="AP16" s="43"/>
      <c r="AQ16" s="43"/>
      <c r="AR16">
        <f t="shared" si="0"/>
        <v>5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</row>
    <row r="17" spans="1:96" s="30" customFormat="1" ht="16.5" customHeight="1" x14ac:dyDescent="0.25">
      <c r="A17">
        <v>398</v>
      </c>
      <c r="B17" t="s">
        <v>437</v>
      </c>
      <c r="C17" t="s">
        <v>438</v>
      </c>
      <c r="D17" t="s">
        <v>159</v>
      </c>
      <c r="E17" t="s">
        <v>160</v>
      </c>
      <c r="F17" s="62"/>
      <c r="G17" s="12"/>
      <c r="H17" s="12"/>
      <c r="I17" s="12"/>
      <c r="J17" s="12"/>
      <c r="K17" s="12"/>
      <c r="L17" s="12"/>
      <c r="M17" s="12"/>
      <c r="N17" s="12"/>
      <c r="O17" s="12"/>
      <c r="P17" s="60"/>
      <c r="Q17" s="60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79"/>
      <c r="AE17" s="79"/>
      <c r="AF17" s="79"/>
      <c r="AG17" s="79"/>
      <c r="AH17" s="79"/>
      <c r="AI17" s="79"/>
      <c r="AJ17" s="79"/>
      <c r="AK17" s="79"/>
      <c r="AL17" s="4"/>
      <c r="AM17" s="55"/>
      <c r="AN17" s="46"/>
      <c r="AO17" s="46"/>
      <c r="AP17" s="58"/>
      <c r="AQ17" s="58"/>
      <c r="AR17">
        <f t="shared" si="0"/>
        <v>0</v>
      </c>
      <c r="AS17" s="44"/>
      <c r="AT17" s="44"/>
      <c r="AU17" s="44"/>
      <c r="AV17" s="44"/>
      <c r="AW17" s="44"/>
      <c r="AX17" s="44"/>
      <c r="AY17" s="44"/>
    </row>
    <row r="18" spans="1:96" s="24" customFormat="1" ht="16.5" customHeight="1" x14ac:dyDescent="0.25">
      <c r="A18">
        <v>68</v>
      </c>
      <c r="B18" t="s">
        <v>439</v>
      </c>
      <c r="C18" t="s">
        <v>440</v>
      </c>
      <c r="D18" t="s">
        <v>157</v>
      </c>
      <c r="E18" t="s">
        <v>158</v>
      </c>
      <c r="F18" s="48"/>
      <c r="G18" s="4"/>
      <c r="H18" s="9"/>
      <c r="I18" s="9"/>
      <c r="J18" s="84" t="s">
        <v>237</v>
      </c>
      <c r="K18" s="84" t="s">
        <v>114</v>
      </c>
      <c r="L18" s="84" t="s">
        <v>237</v>
      </c>
      <c r="M18" s="84" t="s">
        <v>114</v>
      </c>
      <c r="N18" s="4"/>
      <c r="O18" s="4"/>
      <c r="P18" s="52"/>
      <c r="Q18" s="52"/>
      <c r="R18" s="4" t="s">
        <v>41</v>
      </c>
      <c r="S18" s="4" t="s">
        <v>114</v>
      </c>
      <c r="T18" s="9" t="s">
        <v>41</v>
      </c>
      <c r="U18" s="9" t="s">
        <v>114</v>
      </c>
      <c r="V18" s="12"/>
      <c r="W18" s="12"/>
      <c r="X18" s="12"/>
      <c r="Y18" s="12"/>
      <c r="Z18" s="4"/>
      <c r="AA18" s="4"/>
      <c r="AB18" s="9"/>
      <c r="AC18" s="9"/>
      <c r="AD18" s="4"/>
      <c r="AE18" s="4"/>
      <c r="AF18" s="9"/>
      <c r="AG18" s="9"/>
      <c r="AH18" s="4"/>
      <c r="AI18" s="4"/>
      <c r="AJ18" s="9"/>
      <c r="AK18" s="9"/>
      <c r="AL18" s="4"/>
      <c r="AM18" s="41"/>
      <c r="AN18" s="9"/>
      <c r="AO18" s="9"/>
      <c r="AP18" s="43"/>
      <c r="AQ18" s="43"/>
      <c r="AR18">
        <f t="shared" si="0"/>
        <v>4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</row>
    <row r="19" spans="1:96" ht="16.5" customHeight="1" x14ac:dyDescent="0.25">
      <c r="A19">
        <v>81</v>
      </c>
      <c r="B19" t="s">
        <v>321</v>
      </c>
      <c r="C19" t="s">
        <v>342</v>
      </c>
      <c r="D19" t="s">
        <v>87</v>
      </c>
      <c r="E19" t="s">
        <v>88</v>
      </c>
      <c r="F19" s="48"/>
      <c r="G19" s="4"/>
      <c r="H19" s="9"/>
      <c r="I19" s="9"/>
      <c r="J19" s="4" t="s">
        <v>148</v>
      </c>
      <c r="K19" s="4" t="s">
        <v>114</v>
      </c>
      <c r="L19" s="9" t="s">
        <v>148</v>
      </c>
      <c r="M19" s="9" t="s">
        <v>114</v>
      </c>
      <c r="N19" s="4"/>
      <c r="O19" s="4"/>
      <c r="P19" s="52"/>
      <c r="Q19" s="52"/>
      <c r="R19" s="4" t="s">
        <v>41</v>
      </c>
      <c r="S19" s="4" t="s">
        <v>115</v>
      </c>
      <c r="T19" s="9"/>
      <c r="U19" s="9"/>
      <c r="V19" s="4"/>
      <c r="W19" s="4"/>
      <c r="X19" s="9"/>
      <c r="Y19" s="9"/>
      <c r="Z19" s="4"/>
      <c r="AA19" s="4"/>
      <c r="AB19" s="9"/>
      <c r="AC19" s="9"/>
      <c r="AD19" s="4"/>
      <c r="AE19" s="4"/>
      <c r="AF19" s="9"/>
      <c r="AG19" s="9"/>
      <c r="AH19" s="4"/>
      <c r="AI19" s="4"/>
      <c r="AJ19" s="9"/>
      <c r="AK19" s="9"/>
      <c r="AL19" s="4"/>
      <c r="AM19" s="41"/>
      <c r="AN19" s="9"/>
      <c r="AO19" s="9"/>
      <c r="AP19" s="43"/>
      <c r="AQ19" s="43"/>
      <c r="AR19">
        <f t="shared" si="0"/>
        <v>3</v>
      </c>
    </row>
    <row r="20" spans="1:96" s="22" customFormat="1" ht="16.5" customHeight="1" x14ac:dyDescent="0.25">
      <c r="A20">
        <v>101</v>
      </c>
      <c r="B20" t="s">
        <v>441</v>
      </c>
      <c r="C20" t="s">
        <v>442</v>
      </c>
      <c r="D20" t="s">
        <v>171</v>
      </c>
      <c r="E20" t="s">
        <v>172</v>
      </c>
      <c r="F20" s="48"/>
      <c r="G20" s="4"/>
      <c r="H20" s="9"/>
      <c r="I20" s="9"/>
      <c r="J20" s="4"/>
      <c r="K20" s="4"/>
      <c r="L20" s="9"/>
      <c r="M20" s="9"/>
      <c r="N20" s="75" t="s">
        <v>128</v>
      </c>
      <c r="O20" s="75" t="s">
        <v>114</v>
      </c>
      <c r="P20" s="52"/>
      <c r="Q20" s="52"/>
      <c r="R20" s="4"/>
      <c r="S20" s="4"/>
      <c r="T20" s="9"/>
      <c r="U20" s="9"/>
      <c r="V20" s="4"/>
      <c r="W20" s="4"/>
      <c r="X20" s="9" t="s">
        <v>128</v>
      </c>
      <c r="Y20" s="9" t="s">
        <v>115</v>
      </c>
      <c r="Z20" s="4" t="s">
        <v>41</v>
      </c>
      <c r="AA20" s="4" t="s">
        <v>114</v>
      </c>
      <c r="AB20" s="9" t="s">
        <v>41</v>
      </c>
      <c r="AC20" s="9" t="s">
        <v>114</v>
      </c>
      <c r="AD20" s="4"/>
      <c r="AE20" s="4"/>
      <c r="AF20" s="75" t="s">
        <v>205</v>
      </c>
      <c r="AG20" s="75" t="s">
        <v>114</v>
      </c>
      <c r="AH20" s="64"/>
      <c r="AI20" s="64"/>
      <c r="AJ20" s="64"/>
      <c r="AK20" s="64"/>
      <c r="AL20" s="4"/>
      <c r="AM20" s="41"/>
      <c r="AN20" s="9"/>
      <c r="AO20" s="9"/>
      <c r="AP20" s="43"/>
      <c r="AQ20" s="43"/>
      <c r="AR20">
        <f t="shared" si="0"/>
        <v>5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</row>
    <row r="21" spans="1:96" ht="16.5" customHeight="1" x14ac:dyDescent="0.25">
      <c r="A21">
        <v>496</v>
      </c>
      <c r="B21" t="s">
        <v>443</v>
      </c>
      <c r="C21" t="s">
        <v>444</v>
      </c>
      <c r="D21" t="s">
        <v>157</v>
      </c>
      <c r="E21" t="s">
        <v>158</v>
      </c>
      <c r="F21" s="48"/>
      <c r="G21" s="4"/>
      <c r="H21" s="9"/>
      <c r="I21" s="9"/>
      <c r="J21" s="4"/>
      <c r="K21" s="4"/>
      <c r="L21" s="9"/>
      <c r="M21" s="9"/>
      <c r="N21" s="64"/>
      <c r="O21" s="64"/>
      <c r="P21" s="65"/>
      <c r="Q21" s="65"/>
      <c r="R21" s="4"/>
      <c r="S21" s="4"/>
      <c r="T21" s="69" t="s">
        <v>143</v>
      </c>
      <c r="U21" s="69" t="s">
        <v>114</v>
      </c>
      <c r="V21" s="69" t="s">
        <v>143</v>
      </c>
      <c r="W21" s="69" t="s">
        <v>114</v>
      </c>
      <c r="X21" s="9"/>
      <c r="Y21" s="9"/>
      <c r="Z21" s="4"/>
      <c r="AA21" s="4"/>
      <c r="AB21" s="9"/>
      <c r="AC21" s="9"/>
      <c r="AD21" s="4"/>
      <c r="AE21" s="4"/>
      <c r="AF21" s="9"/>
      <c r="AG21" s="9"/>
      <c r="AH21" s="4" t="s">
        <v>256</v>
      </c>
      <c r="AI21" s="4" t="s">
        <v>114</v>
      </c>
      <c r="AJ21" s="9" t="s">
        <v>256</v>
      </c>
      <c r="AK21" s="9" t="s">
        <v>114</v>
      </c>
      <c r="AL21" s="4"/>
      <c r="AM21" s="41"/>
      <c r="AN21" s="9"/>
      <c r="AO21" s="9"/>
      <c r="AP21" s="43"/>
      <c r="AQ21" s="43"/>
      <c r="AR21">
        <f t="shared" si="0"/>
        <v>4</v>
      </c>
    </row>
    <row r="22" spans="1:96" ht="16.5" customHeight="1" x14ac:dyDescent="0.25">
      <c r="A22">
        <v>234</v>
      </c>
      <c r="B22" t="s">
        <v>445</v>
      </c>
      <c r="C22" t="s">
        <v>446</v>
      </c>
      <c r="D22" t="s">
        <v>150</v>
      </c>
      <c r="E22" t="s">
        <v>151</v>
      </c>
      <c r="F22" s="62"/>
      <c r="G22" s="12"/>
      <c r="H22" s="12"/>
      <c r="I22" s="12"/>
      <c r="J22" s="12"/>
      <c r="K22" s="12"/>
      <c r="L22" s="12"/>
      <c r="M22" s="12"/>
      <c r="N22" s="12"/>
      <c r="O22" s="12"/>
      <c r="P22" s="60"/>
      <c r="Q22" s="60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4"/>
      <c r="AM22" s="41"/>
      <c r="AN22" s="9"/>
      <c r="AO22" s="9"/>
      <c r="AP22" s="43"/>
      <c r="AQ22" s="43"/>
      <c r="AR22">
        <f t="shared" si="0"/>
        <v>0</v>
      </c>
    </row>
    <row r="23" spans="1:96" ht="16.5" customHeight="1" x14ac:dyDescent="0.25">
      <c r="A23">
        <v>280</v>
      </c>
      <c r="B23" t="s">
        <v>447</v>
      </c>
      <c r="C23" t="s">
        <v>448</v>
      </c>
      <c r="D23" t="s">
        <v>74</v>
      </c>
      <c r="E23" t="s">
        <v>75</v>
      </c>
      <c r="F23" s="48"/>
      <c r="G23" s="4"/>
      <c r="H23" s="9"/>
      <c r="I23" s="9"/>
      <c r="J23" s="4"/>
      <c r="K23" s="4"/>
      <c r="L23" s="9"/>
      <c r="M23" s="9"/>
      <c r="N23" s="4" t="s">
        <v>226</v>
      </c>
      <c r="O23" s="4" t="s">
        <v>114</v>
      </c>
      <c r="P23" s="52" t="s">
        <v>226</v>
      </c>
      <c r="Q23" s="52" t="s">
        <v>114</v>
      </c>
      <c r="R23" s="4"/>
      <c r="S23" s="4"/>
      <c r="T23" s="9"/>
      <c r="U23" s="9"/>
      <c r="V23" s="4"/>
      <c r="W23" s="4"/>
      <c r="X23" s="9"/>
      <c r="Y23" s="9"/>
      <c r="Z23" s="4" t="s">
        <v>128</v>
      </c>
      <c r="AA23" s="4" t="s">
        <v>114</v>
      </c>
      <c r="AB23" s="9"/>
      <c r="AC23" s="9"/>
      <c r="AD23" s="4"/>
      <c r="AE23" s="4"/>
      <c r="AF23" s="9" t="s">
        <v>260</v>
      </c>
      <c r="AG23" s="9" t="s">
        <v>114</v>
      </c>
      <c r="AH23" s="4" t="s">
        <v>260</v>
      </c>
      <c r="AI23" s="4" t="s">
        <v>114</v>
      </c>
      <c r="AJ23" s="9"/>
      <c r="AK23" s="9"/>
      <c r="AL23" s="4"/>
      <c r="AM23" s="41"/>
      <c r="AN23" s="9"/>
      <c r="AO23" s="9"/>
      <c r="AP23" s="43"/>
      <c r="AQ23" s="43"/>
      <c r="AR23">
        <f t="shared" si="0"/>
        <v>5</v>
      </c>
    </row>
    <row r="24" spans="1:96" ht="16.5" customHeight="1" x14ac:dyDescent="0.25">
      <c r="A24">
        <v>404</v>
      </c>
      <c r="B24" t="s">
        <v>449</v>
      </c>
      <c r="C24" t="s">
        <v>450</v>
      </c>
      <c r="D24" t="s">
        <v>161</v>
      </c>
      <c r="E24" t="s">
        <v>162</v>
      </c>
      <c r="F24" s="48"/>
      <c r="G24" s="4"/>
      <c r="H24" s="9"/>
      <c r="I24" s="9"/>
      <c r="J24" s="4"/>
      <c r="K24" s="4"/>
      <c r="L24" s="9"/>
      <c r="M24" s="9"/>
      <c r="N24" s="4"/>
      <c r="O24" s="4"/>
      <c r="P24" s="76" t="s">
        <v>198</v>
      </c>
      <c r="Q24" s="76" t="s">
        <v>114</v>
      </c>
      <c r="R24" s="4"/>
      <c r="S24" s="4"/>
      <c r="T24" s="9"/>
      <c r="U24" s="9"/>
      <c r="V24" s="4" t="s">
        <v>41</v>
      </c>
      <c r="W24" s="4" t="s">
        <v>114</v>
      </c>
      <c r="X24" s="9" t="s">
        <v>41</v>
      </c>
      <c r="Y24" s="9" t="s">
        <v>114</v>
      </c>
      <c r="Z24" s="4"/>
      <c r="AA24" s="4"/>
      <c r="AB24" s="9"/>
      <c r="AC24" s="9"/>
      <c r="AD24" s="4" t="s">
        <v>128</v>
      </c>
      <c r="AE24" s="4" t="s">
        <v>114</v>
      </c>
      <c r="AF24" s="9" t="s">
        <v>128</v>
      </c>
      <c r="AG24" s="9" t="s">
        <v>114</v>
      </c>
      <c r="AH24" s="4"/>
      <c r="AI24" s="4"/>
      <c r="AJ24" s="9"/>
      <c r="AK24" s="9"/>
      <c r="AL24" s="4"/>
      <c r="AM24" s="41"/>
      <c r="AN24" s="9"/>
      <c r="AO24" s="9"/>
      <c r="AP24" s="43"/>
      <c r="AQ24" s="43"/>
      <c r="AR24">
        <f t="shared" si="0"/>
        <v>5</v>
      </c>
    </row>
    <row r="25" spans="1:96" ht="16.5" customHeight="1" x14ac:dyDescent="0.25">
      <c r="A25">
        <v>431</v>
      </c>
      <c r="B25" t="s">
        <v>451</v>
      </c>
      <c r="C25" t="s">
        <v>452</v>
      </c>
      <c r="D25" t="s">
        <v>91</v>
      </c>
      <c r="E25" t="s">
        <v>92</v>
      </c>
      <c r="F25" s="48"/>
      <c r="G25" s="4"/>
      <c r="H25" s="12"/>
      <c r="I25" s="12"/>
      <c r="J25" s="4" t="s">
        <v>22</v>
      </c>
      <c r="K25" s="4" t="s">
        <v>114</v>
      </c>
      <c r="L25" s="66"/>
      <c r="M25" s="66"/>
      <c r="N25" s="4"/>
      <c r="O25" s="4"/>
      <c r="P25" s="52"/>
      <c r="Q25" s="52"/>
      <c r="R25" s="4" t="s">
        <v>63</v>
      </c>
      <c r="S25" s="4" t="s">
        <v>114</v>
      </c>
      <c r="T25" s="9" t="s">
        <v>63</v>
      </c>
      <c r="U25" s="9" t="s">
        <v>114</v>
      </c>
      <c r="V25" s="4"/>
      <c r="W25" s="4"/>
      <c r="X25" s="9"/>
      <c r="Y25" s="9"/>
      <c r="Z25" s="4" t="s">
        <v>63</v>
      </c>
      <c r="AA25" s="4" t="s">
        <v>114</v>
      </c>
      <c r="AB25" s="9" t="s">
        <v>63</v>
      </c>
      <c r="AC25" s="9" t="s">
        <v>114</v>
      </c>
      <c r="AD25" s="4"/>
      <c r="AE25" s="4"/>
      <c r="AF25" s="9"/>
      <c r="AG25" s="9"/>
      <c r="AH25" s="4"/>
      <c r="AI25" s="4"/>
      <c r="AJ25" s="9"/>
      <c r="AK25" s="9"/>
      <c r="AL25" s="4"/>
      <c r="AM25" s="41"/>
      <c r="AN25" s="9"/>
      <c r="AO25" s="9"/>
      <c r="AP25" s="43"/>
      <c r="AQ25" s="43"/>
      <c r="AR25">
        <f t="shared" si="0"/>
        <v>5</v>
      </c>
    </row>
    <row r="26" spans="1:96" ht="16.5" customHeight="1" x14ac:dyDescent="0.25">
      <c r="A26">
        <v>519</v>
      </c>
      <c r="B26" t="s">
        <v>453</v>
      </c>
      <c r="C26" t="s">
        <v>454</v>
      </c>
      <c r="D26" t="s">
        <v>111</v>
      </c>
      <c r="E26" t="s">
        <v>64</v>
      </c>
      <c r="F26" s="62"/>
      <c r="G26" s="12"/>
      <c r="H26" s="12"/>
      <c r="I26" s="12"/>
      <c r="J26" s="4" t="s">
        <v>223</v>
      </c>
      <c r="K26" s="4" t="s">
        <v>114</v>
      </c>
      <c r="L26" s="9" t="s">
        <v>223</v>
      </c>
      <c r="M26" s="9" t="s">
        <v>114</v>
      </c>
      <c r="N26" s="4"/>
      <c r="O26" s="4"/>
      <c r="P26" s="52"/>
      <c r="Q26" s="52"/>
      <c r="R26" s="75"/>
      <c r="S26" s="75"/>
      <c r="T26" s="75" t="s">
        <v>128</v>
      </c>
      <c r="U26" s="75" t="s">
        <v>114</v>
      </c>
      <c r="V26" s="4"/>
      <c r="W26" s="4"/>
      <c r="X26" s="9"/>
      <c r="Y26" s="9"/>
      <c r="Z26" s="4"/>
      <c r="AA26" s="4"/>
      <c r="AB26" s="9"/>
      <c r="AC26" s="9"/>
      <c r="AD26" s="4"/>
      <c r="AE26" s="4"/>
      <c r="AF26" s="9"/>
      <c r="AG26" s="9"/>
      <c r="AH26" s="4" t="s">
        <v>128</v>
      </c>
      <c r="AI26" s="4" t="s">
        <v>114</v>
      </c>
      <c r="AJ26" s="66"/>
      <c r="AK26" s="66"/>
      <c r="AL26" s="4"/>
      <c r="AM26" s="41"/>
      <c r="AN26" s="9"/>
      <c r="AO26" s="9"/>
      <c r="AP26" s="43"/>
      <c r="AQ26" s="43"/>
      <c r="AR26">
        <f t="shared" si="0"/>
        <v>4</v>
      </c>
    </row>
    <row r="27" spans="1:96" ht="16.5" customHeight="1" x14ac:dyDescent="0.25">
      <c r="A27">
        <v>312</v>
      </c>
      <c r="B27" t="s">
        <v>455</v>
      </c>
      <c r="C27" t="s">
        <v>456</v>
      </c>
      <c r="D27" t="s">
        <v>168</v>
      </c>
      <c r="E27" t="s">
        <v>244</v>
      </c>
      <c r="F27" s="48"/>
      <c r="G27" s="4"/>
      <c r="H27" s="9" t="s">
        <v>30</v>
      </c>
      <c r="I27" s="9" t="s">
        <v>114</v>
      </c>
      <c r="J27" s="4"/>
      <c r="K27" s="4"/>
      <c r="L27" s="9"/>
      <c r="M27" s="9"/>
      <c r="N27" s="4"/>
      <c r="O27" s="4"/>
      <c r="P27" s="52" t="s">
        <v>195</v>
      </c>
      <c r="Q27" s="52" t="s">
        <v>114</v>
      </c>
      <c r="R27" s="4" t="s">
        <v>195</v>
      </c>
      <c r="S27" s="4" t="s">
        <v>114</v>
      </c>
      <c r="T27" s="9"/>
      <c r="U27" s="9"/>
      <c r="V27" s="4"/>
      <c r="W27" s="4"/>
      <c r="X27" s="9"/>
      <c r="Y27" s="9"/>
      <c r="Z27" s="4"/>
      <c r="AA27" s="4"/>
      <c r="AB27" s="9" t="s">
        <v>128</v>
      </c>
      <c r="AC27" s="9" t="s">
        <v>114</v>
      </c>
      <c r="AD27" s="4"/>
      <c r="AE27" s="4"/>
      <c r="AF27" s="9"/>
      <c r="AG27" s="9"/>
      <c r="AH27" s="4"/>
      <c r="AI27" s="4"/>
      <c r="AJ27" s="9" t="s">
        <v>214</v>
      </c>
      <c r="AK27" s="9" t="s">
        <v>114</v>
      </c>
      <c r="AL27" s="4"/>
      <c r="AM27" s="41"/>
      <c r="AN27" s="9"/>
      <c r="AO27" s="9"/>
      <c r="AP27" s="43"/>
      <c r="AQ27" s="43"/>
      <c r="AR27">
        <f t="shared" si="0"/>
        <v>5</v>
      </c>
    </row>
    <row r="28" spans="1:96" ht="16.5" customHeight="1" x14ac:dyDescent="0.25">
      <c r="A28">
        <v>484</v>
      </c>
      <c r="B28" t="s">
        <v>457</v>
      </c>
      <c r="C28" t="s">
        <v>458</v>
      </c>
      <c r="D28" t="s">
        <v>179</v>
      </c>
      <c r="E28" t="s">
        <v>180</v>
      </c>
      <c r="F28" s="48" t="s">
        <v>202</v>
      </c>
      <c r="G28" s="4" t="s">
        <v>114</v>
      </c>
      <c r="H28" s="9" t="s">
        <v>202</v>
      </c>
      <c r="I28" s="9" t="s">
        <v>114</v>
      </c>
      <c r="J28" s="4" t="s">
        <v>35</v>
      </c>
      <c r="K28" s="4" t="s">
        <v>114</v>
      </c>
      <c r="L28" s="9" t="s">
        <v>35</v>
      </c>
      <c r="M28" s="9" t="s">
        <v>114</v>
      </c>
      <c r="N28" s="4"/>
      <c r="O28" s="4"/>
      <c r="P28" s="52"/>
      <c r="Q28" s="52"/>
      <c r="R28" s="4"/>
      <c r="S28" s="4"/>
      <c r="T28" s="9"/>
      <c r="U28" s="9"/>
      <c r="V28" s="4" t="s">
        <v>41</v>
      </c>
      <c r="W28" s="4" t="s">
        <v>115</v>
      </c>
      <c r="X28" s="9"/>
      <c r="Y28" s="9"/>
      <c r="Z28" s="4"/>
      <c r="AA28" s="4"/>
      <c r="AB28" s="9"/>
      <c r="AC28" s="9"/>
      <c r="AD28" s="4"/>
      <c r="AE28" s="4"/>
      <c r="AF28" s="9"/>
      <c r="AG28" s="9"/>
      <c r="AH28" s="4"/>
      <c r="AI28" s="4"/>
      <c r="AJ28" s="9"/>
      <c r="AK28" s="9"/>
      <c r="AL28" s="4"/>
      <c r="AM28" s="41"/>
      <c r="AN28" s="9"/>
      <c r="AO28" s="9"/>
      <c r="AP28" s="43"/>
      <c r="AQ28" s="43"/>
      <c r="AR28">
        <f t="shared" si="0"/>
        <v>5</v>
      </c>
    </row>
    <row r="29" spans="1:96" s="11" customFormat="1" ht="16.5" customHeight="1" x14ac:dyDescent="0.25">
      <c r="A29">
        <v>335</v>
      </c>
      <c r="B29" t="s">
        <v>459</v>
      </c>
      <c r="C29" t="s">
        <v>460</v>
      </c>
      <c r="D29" t="s">
        <v>153</v>
      </c>
      <c r="E29" t="s">
        <v>154</v>
      </c>
      <c r="F29" s="48"/>
      <c r="G29" s="4"/>
      <c r="H29" s="9"/>
      <c r="I29" s="9"/>
      <c r="J29" s="4"/>
      <c r="K29" s="4"/>
      <c r="L29" s="9"/>
      <c r="M29" s="9"/>
      <c r="N29" s="4"/>
      <c r="O29" s="4"/>
      <c r="P29" s="52"/>
      <c r="Q29" s="52"/>
      <c r="R29" s="4"/>
      <c r="S29" s="4"/>
      <c r="T29" s="9"/>
      <c r="U29" s="9"/>
      <c r="V29" s="4"/>
      <c r="W29" s="4"/>
      <c r="X29" s="9"/>
      <c r="Y29" s="9"/>
      <c r="Z29" s="4"/>
      <c r="AA29" s="4"/>
      <c r="AB29" s="9" t="s">
        <v>143</v>
      </c>
      <c r="AC29" s="9" t="s">
        <v>114</v>
      </c>
      <c r="AD29" s="4" t="s">
        <v>41</v>
      </c>
      <c r="AE29" s="4" t="s">
        <v>114</v>
      </c>
      <c r="AF29" s="9" t="s">
        <v>41</v>
      </c>
      <c r="AG29" s="9" t="s">
        <v>114</v>
      </c>
      <c r="AH29" s="4"/>
      <c r="AI29" s="4"/>
      <c r="AJ29" s="9" t="s">
        <v>260</v>
      </c>
      <c r="AK29" s="9" t="s">
        <v>114</v>
      </c>
      <c r="AL29" s="4"/>
      <c r="AM29" s="41"/>
      <c r="AN29" s="9"/>
      <c r="AO29" s="9"/>
      <c r="AP29" s="43"/>
      <c r="AQ29" s="43"/>
      <c r="AR29">
        <f t="shared" si="0"/>
        <v>4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</row>
    <row r="30" spans="1:96" ht="16.5" customHeight="1" x14ac:dyDescent="0.25">
      <c r="A30">
        <v>517</v>
      </c>
      <c r="B30" t="s">
        <v>461</v>
      </c>
      <c r="C30" t="s">
        <v>462</v>
      </c>
      <c r="D30" t="s">
        <v>209</v>
      </c>
      <c r="E30" t="s">
        <v>210</v>
      </c>
      <c r="F30" s="48"/>
      <c r="G30" s="4"/>
      <c r="H30" s="9"/>
      <c r="I30" s="9"/>
      <c r="J30" s="4"/>
      <c r="K30" s="4"/>
      <c r="L30" s="9"/>
      <c r="M30" s="9"/>
      <c r="N30" s="4"/>
      <c r="O30" s="4"/>
      <c r="P30" s="52"/>
      <c r="Q30" s="52"/>
      <c r="R30" s="4"/>
      <c r="S30" s="4"/>
      <c r="T30" s="9"/>
      <c r="U30" s="9"/>
      <c r="V30" s="4"/>
      <c r="W30" s="4"/>
      <c r="X30" s="9"/>
      <c r="Y30" s="9"/>
      <c r="Z30" s="4" t="s">
        <v>41</v>
      </c>
      <c r="AA30" s="4" t="s">
        <v>115</v>
      </c>
      <c r="AB30" s="9" t="s">
        <v>41</v>
      </c>
      <c r="AC30" s="9" t="s">
        <v>115</v>
      </c>
      <c r="AD30" s="4" t="s">
        <v>128</v>
      </c>
      <c r="AE30" s="4" t="s">
        <v>115</v>
      </c>
      <c r="AF30" s="9" t="s">
        <v>128</v>
      </c>
      <c r="AG30" s="9" t="s">
        <v>115</v>
      </c>
      <c r="AH30" s="4"/>
      <c r="AI30" s="4"/>
      <c r="AJ30" s="9"/>
      <c r="AK30" s="9"/>
      <c r="AL30" s="4"/>
      <c r="AM30" s="41"/>
      <c r="AN30" s="9"/>
      <c r="AO30" s="9"/>
      <c r="AP30" s="43"/>
      <c r="AQ30" s="43"/>
      <c r="AR30">
        <f t="shared" si="0"/>
        <v>4</v>
      </c>
    </row>
    <row r="31" spans="1:96" ht="16.5" customHeight="1" x14ac:dyDescent="0.25">
      <c r="A31">
        <v>539</v>
      </c>
      <c r="B31" t="s">
        <v>463</v>
      </c>
      <c r="C31" t="s">
        <v>464</v>
      </c>
      <c r="D31" t="s">
        <v>177</v>
      </c>
      <c r="E31" t="s">
        <v>178</v>
      </c>
      <c r="F31" s="48"/>
      <c r="G31" s="4"/>
      <c r="H31" s="9"/>
      <c r="I31" s="9"/>
      <c r="J31" s="4"/>
      <c r="K31" s="4"/>
      <c r="L31" s="9" t="s">
        <v>234</v>
      </c>
      <c r="M31" s="9" t="s">
        <v>114</v>
      </c>
      <c r="N31" s="4" t="s">
        <v>234</v>
      </c>
      <c r="O31" s="4" t="s">
        <v>114</v>
      </c>
      <c r="P31" s="52"/>
      <c r="Q31" s="52"/>
      <c r="R31" s="4"/>
      <c r="S31" s="4"/>
      <c r="T31" s="10" t="s">
        <v>10</v>
      </c>
      <c r="U31" s="10" t="s">
        <v>115</v>
      </c>
      <c r="V31" s="4"/>
      <c r="W31" s="4"/>
      <c r="X31" s="9"/>
      <c r="Y31" s="9"/>
      <c r="Z31" s="4"/>
      <c r="AA31" s="4"/>
      <c r="AB31" s="9"/>
      <c r="AC31" s="9"/>
      <c r="AD31" s="4" t="s">
        <v>41</v>
      </c>
      <c r="AE31" s="4" t="s">
        <v>115</v>
      </c>
      <c r="AF31" s="9" t="s">
        <v>41</v>
      </c>
      <c r="AG31" s="9" t="s">
        <v>115</v>
      </c>
      <c r="AH31" s="4"/>
      <c r="AI31" s="4"/>
      <c r="AJ31" s="9"/>
      <c r="AK31" s="9"/>
      <c r="AL31" s="4"/>
      <c r="AM31" s="41"/>
      <c r="AN31" s="9"/>
      <c r="AO31" s="9"/>
      <c r="AP31" s="43"/>
      <c r="AQ31" s="43"/>
      <c r="AR31">
        <f t="shared" si="0"/>
        <v>5</v>
      </c>
    </row>
    <row r="32" spans="1:96" ht="16.5" customHeight="1" x14ac:dyDescent="0.25">
      <c r="A32">
        <v>315</v>
      </c>
      <c r="B32" t="s">
        <v>465</v>
      </c>
      <c r="C32" t="s">
        <v>466</v>
      </c>
      <c r="D32" t="s">
        <v>173</v>
      </c>
      <c r="E32" t="s">
        <v>174</v>
      </c>
      <c r="F32" s="62"/>
      <c r="G32" s="12"/>
      <c r="H32" s="9"/>
      <c r="I32" s="9"/>
      <c r="J32" s="12"/>
      <c r="K32" s="12"/>
      <c r="L32" s="10" t="s">
        <v>128</v>
      </c>
      <c r="M32" s="10" t="s">
        <v>114</v>
      </c>
      <c r="N32" s="4" t="s">
        <v>63</v>
      </c>
      <c r="O32" s="4" t="s">
        <v>114</v>
      </c>
      <c r="P32" s="60"/>
      <c r="Q32" s="60"/>
      <c r="R32" s="4"/>
      <c r="S32" s="4"/>
      <c r="T32" s="9"/>
      <c r="U32" s="9"/>
      <c r="V32" s="4" t="s">
        <v>63</v>
      </c>
      <c r="W32" s="4" t="s">
        <v>114</v>
      </c>
      <c r="X32" s="9" t="s">
        <v>63</v>
      </c>
      <c r="Y32" s="9" t="s">
        <v>114</v>
      </c>
      <c r="Z32" s="12"/>
      <c r="AA32" s="12"/>
      <c r="AB32" s="9"/>
      <c r="AC32" s="9"/>
      <c r="AD32" s="12"/>
      <c r="AE32" s="12"/>
      <c r="AF32" s="9"/>
      <c r="AG32" s="9"/>
      <c r="AH32" s="4" t="s">
        <v>63</v>
      </c>
      <c r="AI32" s="4" t="s">
        <v>114</v>
      </c>
      <c r="AJ32" s="12"/>
      <c r="AK32" s="12"/>
      <c r="AL32" s="4"/>
      <c r="AM32" s="41"/>
      <c r="AN32" s="9"/>
      <c r="AO32" s="9"/>
      <c r="AP32" s="43"/>
      <c r="AQ32" s="43"/>
      <c r="AR32">
        <f t="shared" si="0"/>
        <v>5</v>
      </c>
    </row>
    <row r="33" spans="1:96" ht="16.5" customHeight="1" x14ac:dyDescent="0.25">
      <c r="A33">
        <v>556</v>
      </c>
      <c r="B33" t="s">
        <v>467</v>
      </c>
      <c r="C33" t="s">
        <v>356</v>
      </c>
      <c r="D33" t="s">
        <v>161</v>
      </c>
      <c r="E33" t="s">
        <v>162</v>
      </c>
      <c r="F33" s="48"/>
      <c r="G33" s="4"/>
      <c r="H33" s="9"/>
      <c r="I33" s="9"/>
      <c r="J33" s="4"/>
      <c r="K33" s="4"/>
      <c r="L33" s="9"/>
      <c r="M33" s="9"/>
      <c r="N33" s="4"/>
      <c r="O33" s="4"/>
      <c r="P33" s="52" t="s">
        <v>234</v>
      </c>
      <c r="Q33" s="52" t="s">
        <v>114</v>
      </c>
      <c r="R33" s="4" t="s">
        <v>234</v>
      </c>
      <c r="S33" s="4" t="s">
        <v>114</v>
      </c>
      <c r="T33" s="9"/>
      <c r="U33" s="9"/>
      <c r="V33" s="4"/>
      <c r="W33" s="4"/>
      <c r="X33" s="9" t="s">
        <v>41</v>
      </c>
      <c r="Y33" s="9" t="s">
        <v>115</v>
      </c>
      <c r="Z33" s="4"/>
      <c r="AA33" s="4"/>
      <c r="AB33" s="9"/>
      <c r="AC33" s="9"/>
      <c r="AD33" s="4"/>
      <c r="AE33" s="4"/>
      <c r="AF33" s="9"/>
      <c r="AG33" s="9"/>
      <c r="AH33" s="4" t="s">
        <v>41</v>
      </c>
      <c r="AI33" s="4" t="s">
        <v>114</v>
      </c>
      <c r="AJ33" s="9" t="s">
        <v>41</v>
      </c>
      <c r="AK33" s="9" t="s">
        <v>114</v>
      </c>
      <c r="AL33" s="4"/>
      <c r="AM33" s="41"/>
      <c r="AN33" s="9"/>
      <c r="AO33" s="9"/>
      <c r="AP33" s="43"/>
      <c r="AQ33" s="43"/>
      <c r="AR33">
        <f t="shared" si="0"/>
        <v>5</v>
      </c>
    </row>
    <row r="34" spans="1:96" ht="16.5" customHeight="1" x14ac:dyDescent="0.25">
      <c r="A34">
        <v>547</v>
      </c>
      <c r="B34" t="s">
        <v>468</v>
      </c>
      <c r="C34" t="s">
        <v>454</v>
      </c>
      <c r="D34" t="s">
        <v>168</v>
      </c>
      <c r="E34" t="s">
        <v>244</v>
      </c>
      <c r="F34" s="48"/>
      <c r="G34" s="4"/>
      <c r="H34" s="9"/>
      <c r="I34" s="9"/>
      <c r="J34" s="4"/>
      <c r="K34" s="4"/>
      <c r="L34" s="9"/>
      <c r="M34" s="9"/>
      <c r="N34" s="12"/>
      <c r="O34" s="12"/>
      <c r="P34" s="52" t="s">
        <v>65</v>
      </c>
      <c r="Q34" s="52" t="s">
        <v>114</v>
      </c>
      <c r="R34" s="4"/>
      <c r="S34" s="4"/>
      <c r="T34" s="9"/>
      <c r="U34" s="9"/>
      <c r="V34" s="4" t="s">
        <v>65</v>
      </c>
      <c r="W34" s="4" t="s">
        <v>114</v>
      </c>
      <c r="X34" s="12"/>
      <c r="Y34" s="12"/>
      <c r="Z34" s="4"/>
      <c r="AA34" s="4"/>
      <c r="AB34" s="9"/>
      <c r="AC34" s="9"/>
      <c r="AD34" s="4" t="s">
        <v>65</v>
      </c>
      <c r="AE34" s="4" t="s">
        <v>114</v>
      </c>
      <c r="AF34" s="9" t="s">
        <v>65</v>
      </c>
      <c r="AG34" s="9" t="s">
        <v>114</v>
      </c>
      <c r="AH34" s="4"/>
      <c r="AI34" s="4"/>
      <c r="AJ34" s="9"/>
      <c r="AK34" s="9"/>
      <c r="AL34" s="4"/>
      <c r="AM34" s="41"/>
      <c r="AN34" s="9"/>
      <c r="AO34" s="9"/>
      <c r="AP34" s="43"/>
      <c r="AQ34" s="43"/>
      <c r="AR34">
        <f t="shared" si="0"/>
        <v>4</v>
      </c>
    </row>
    <row r="35" spans="1:96" s="16" customFormat="1" ht="16.5" customHeight="1" x14ac:dyDescent="0.25">
      <c r="A35">
        <v>429</v>
      </c>
      <c r="B35" t="s">
        <v>469</v>
      </c>
      <c r="C35" t="s">
        <v>454</v>
      </c>
      <c r="D35" t="s">
        <v>74</v>
      </c>
      <c r="E35" t="s">
        <v>75</v>
      </c>
      <c r="F35" s="48"/>
      <c r="G35" s="4"/>
      <c r="H35" s="9" t="s">
        <v>141</v>
      </c>
      <c r="I35" s="9" t="s">
        <v>114</v>
      </c>
      <c r="J35" s="4" t="s">
        <v>141</v>
      </c>
      <c r="K35" s="4" t="s">
        <v>114</v>
      </c>
      <c r="L35" s="9"/>
      <c r="M35" s="9"/>
      <c r="N35" s="4"/>
      <c r="O35" s="4"/>
      <c r="P35" s="52"/>
      <c r="Q35" s="52"/>
      <c r="R35" s="4"/>
      <c r="S35" s="4"/>
      <c r="T35" s="9"/>
      <c r="U35" s="9"/>
      <c r="V35" s="4"/>
      <c r="W35" s="4"/>
      <c r="X35" s="9"/>
      <c r="Y35" s="9"/>
      <c r="Z35" s="4" t="s">
        <v>128</v>
      </c>
      <c r="AA35" s="4" t="s">
        <v>115</v>
      </c>
      <c r="AB35" s="9"/>
      <c r="AC35" s="9"/>
      <c r="AD35" s="4" t="s">
        <v>18</v>
      </c>
      <c r="AE35" s="4" t="s">
        <v>114</v>
      </c>
      <c r="AF35" s="9" t="s">
        <v>18</v>
      </c>
      <c r="AG35" s="9" t="s">
        <v>114</v>
      </c>
      <c r="AH35" s="4"/>
      <c r="AI35" s="4"/>
      <c r="AJ35" s="9"/>
      <c r="AK35" s="9"/>
      <c r="AL35" s="4"/>
      <c r="AM35" s="41"/>
      <c r="AN35" s="9"/>
      <c r="AO35" s="9"/>
      <c r="AP35" s="43"/>
      <c r="AQ35" s="43"/>
      <c r="AR35">
        <f t="shared" ref="AR35:AR66" si="1">COUNTA(F35,H35,J35,L35,N35,P35,R35,T35,V35,X35,Z35,AB35,AD35,AF35,AH35,AJ35,AL35,AN35)</f>
        <v>5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</row>
    <row r="36" spans="1:96" s="22" customFormat="1" ht="16.5" customHeight="1" x14ac:dyDescent="0.25">
      <c r="A36">
        <v>133</v>
      </c>
      <c r="B36" t="s">
        <v>470</v>
      </c>
      <c r="C36" t="s">
        <v>305</v>
      </c>
      <c r="D36" t="s">
        <v>70</v>
      </c>
      <c r="E36" t="s">
        <v>71</v>
      </c>
      <c r="F36" s="48" t="s">
        <v>22</v>
      </c>
      <c r="G36" s="4" t="s">
        <v>114</v>
      </c>
      <c r="H36" s="9" t="s">
        <v>22</v>
      </c>
      <c r="I36" s="9" t="s">
        <v>114</v>
      </c>
      <c r="J36" s="4"/>
      <c r="K36" s="4"/>
      <c r="L36" s="9" t="s">
        <v>141</v>
      </c>
      <c r="M36" s="9" t="s">
        <v>114</v>
      </c>
      <c r="N36" s="75" t="s">
        <v>41</v>
      </c>
      <c r="O36" s="75" t="s">
        <v>115</v>
      </c>
      <c r="P36" s="76" t="s">
        <v>41</v>
      </c>
      <c r="Q36" s="76" t="s">
        <v>115</v>
      </c>
      <c r="R36" s="4"/>
      <c r="S36" s="4"/>
      <c r="T36" s="9"/>
      <c r="U36" s="9"/>
      <c r="V36" s="4"/>
      <c r="W36" s="4"/>
      <c r="X36" s="9"/>
      <c r="Y36" s="9"/>
      <c r="Z36" s="4"/>
      <c r="AA36" s="4"/>
      <c r="AB36" s="9"/>
      <c r="AC36" s="9"/>
      <c r="AD36" s="4"/>
      <c r="AE36" s="4"/>
      <c r="AF36" s="9"/>
      <c r="AG36" s="9"/>
      <c r="AH36" s="64"/>
      <c r="AI36" s="64"/>
      <c r="AJ36" s="64"/>
      <c r="AK36" s="64"/>
      <c r="AL36" s="4"/>
      <c r="AM36" s="41"/>
      <c r="AN36" s="9"/>
      <c r="AO36" s="9"/>
      <c r="AP36" s="43"/>
      <c r="AQ36" s="43"/>
      <c r="AR36">
        <f t="shared" si="1"/>
        <v>5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</row>
    <row r="37" spans="1:96" ht="16.5" customHeight="1" x14ac:dyDescent="0.25">
      <c r="A37">
        <v>67</v>
      </c>
      <c r="B37" t="s">
        <v>471</v>
      </c>
      <c r="C37" t="s">
        <v>472</v>
      </c>
      <c r="D37" t="s">
        <v>155</v>
      </c>
      <c r="E37" t="s">
        <v>156</v>
      </c>
      <c r="F37" s="48"/>
      <c r="G37" s="4"/>
      <c r="H37" s="9"/>
      <c r="I37" s="9"/>
      <c r="J37" s="12"/>
      <c r="K37" s="12"/>
      <c r="L37" s="12"/>
      <c r="M37" s="12"/>
      <c r="N37" s="4"/>
      <c r="O37" s="4"/>
      <c r="P37" s="52"/>
      <c r="Q37" s="52"/>
      <c r="R37" s="75" t="s">
        <v>128</v>
      </c>
      <c r="S37" s="75" t="s">
        <v>114</v>
      </c>
      <c r="T37" s="9"/>
      <c r="U37" s="9"/>
      <c r="V37" s="10" t="s">
        <v>128</v>
      </c>
      <c r="W37" s="10" t="s">
        <v>115</v>
      </c>
      <c r="X37" s="9"/>
      <c r="Y37" s="9"/>
      <c r="Z37" s="75"/>
      <c r="AA37" s="75"/>
      <c r="AB37" s="9" t="s">
        <v>128</v>
      </c>
      <c r="AC37" s="9" t="s">
        <v>115</v>
      </c>
      <c r="AD37" s="4"/>
      <c r="AE37" s="4"/>
      <c r="AF37" s="9" t="s">
        <v>221</v>
      </c>
      <c r="AG37" s="9" t="s">
        <v>114</v>
      </c>
      <c r="AH37" s="4" t="s">
        <v>41</v>
      </c>
      <c r="AI37" s="4" t="s">
        <v>115</v>
      </c>
      <c r="AJ37" s="9"/>
      <c r="AK37" s="9"/>
      <c r="AL37" s="4"/>
      <c r="AM37" s="41"/>
      <c r="AN37" s="9"/>
      <c r="AO37" s="9"/>
      <c r="AP37" s="43"/>
      <c r="AQ37" s="43"/>
      <c r="AR37">
        <f t="shared" si="1"/>
        <v>5</v>
      </c>
    </row>
    <row r="38" spans="1:96" ht="16.5" customHeight="1" x14ac:dyDescent="0.25">
      <c r="A38">
        <v>511</v>
      </c>
      <c r="B38" t="s">
        <v>473</v>
      </c>
      <c r="C38" t="s">
        <v>474</v>
      </c>
      <c r="D38" t="s">
        <v>150</v>
      </c>
      <c r="E38" t="s">
        <v>151</v>
      </c>
      <c r="F38" s="48"/>
      <c r="G38" s="4"/>
      <c r="H38" s="9"/>
      <c r="I38" s="9"/>
      <c r="J38" s="4"/>
      <c r="K38" s="4"/>
      <c r="L38" s="9"/>
      <c r="M38" s="9"/>
      <c r="N38" s="4"/>
      <c r="O38" s="4"/>
      <c r="P38" s="76" t="s">
        <v>63</v>
      </c>
      <c r="Q38" s="76" t="s">
        <v>114</v>
      </c>
      <c r="R38" s="64"/>
      <c r="S38" s="64"/>
      <c r="T38" s="64"/>
      <c r="U38" s="64"/>
      <c r="V38" s="4"/>
      <c r="W38" s="4"/>
      <c r="X38" s="9"/>
      <c r="Y38" s="9"/>
      <c r="Z38" s="64"/>
      <c r="AA38" s="64"/>
      <c r="AB38" s="64"/>
      <c r="AC38" s="64"/>
      <c r="AD38" s="12"/>
      <c r="AE38" s="12"/>
      <c r="AF38" s="64"/>
      <c r="AG38" s="64"/>
      <c r="AH38" s="4"/>
      <c r="AI38" s="4"/>
      <c r="AJ38" s="75" t="s">
        <v>63</v>
      </c>
      <c r="AK38" s="75" t="s">
        <v>114</v>
      </c>
      <c r="AL38" s="4"/>
      <c r="AM38" s="41"/>
      <c r="AN38" s="9"/>
      <c r="AO38" s="9"/>
      <c r="AP38" s="43"/>
      <c r="AQ38" s="43"/>
      <c r="AR38">
        <f t="shared" si="1"/>
        <v>2</v>
      </c>
    </row>
    <row r="39" spans="1:96" ht="16.5" customHeight="1" x14ac:dyDescent="0.25">
      <c r="A39">
        <v>285</v>
      </c>
      <c r="B39" t="s">
        <v>475</v>
      </c>
      <c r="C39" t="s">
        <v>476</v>
      </c>
      <c r="D39" t="s">
        <v>163</v>
      </c>
      <c r="E39" t="s">
        <v>164</v>
      </c>
      <c r="F39" s="48" t="s">
        <v>25</v>
      </c>
      <c r="G39" s="4" t="s">
        <v>115</v>
      </c>
      <c r="H39" s="9"/>
      <c r="I39" s="9"/>
      <c r="J39" s="4" t="s">
        <v>30</v>
      </c>
      <c r="K39" s="4" t="s">
        <v>114</v>
      </c>
      <c r="L39" s="9" t="s">
        <v>30</v>
      </c>
      <c r="M39" s="9" t="s">
        <v>114</v>
      </c>
      <c r="N39" s="4"/>
      <c r="O39" s="4"/>
      <c r="P39" s="52" t="s">
        <v>24</v>
      </c>
      <c r="Q39" s="52" t="s">
        <v>115</v>
      </c>
      <c r="R39" s="4" t="s">
        <v>24</v>
      </c>
      <c r="S39" s="4" t="s">
        <v>115</v>
      </c>
      <c r="T39" s="9"/>
      <c r="U39" s="9"/>
      <c r="V39" s="4"/>
      <c r="W39" s="4"/>
      <c r="X39" s="9"/>
      <c r="Y39" s="9"/>
      <c r="Z39" s="4"/>
      <c r="AA39" s="4"/>
      <c r="AB39" s="9"/>
      <c r="AC39" s="9"/>
      <c r="AD39" s="4"/>
      <c r="AE39" s="4"/>
      <c r="AF39" s="9"/>
      <c r="AG39" s="9"/>
      <c r="AH39" s="4"/>
      <c r="AI39" s="4"/>
      <c r="AJ39" s="9"/>
      <c r="AK39" s="9"/>
      <c r="AL39" s="4"/>
      <c r="AM39" s="41"/>
      <c r="AN39" s="9"/>
      <c r="AO39" s="9"/>
      <c r="AP39" s="43"/>
      <c r="AQ39" s="43"/>
      <c r="AR39">
        <f t="shared" si="1"/>
        <v>5</v>
      </c>
    </row>
    <row r="40" spans="1:96" ht="16.5" customHeight="1" x14ac:dyDescent="0.25">
      <c r="A40">
        <v>183</v>
      </c>
      <c r="B40" t="s">
        <v>477</v>
      </c>
      <c r="C40" t="s">
        <v>478</v>
      </c>
      <c r="D40" t="s">
        <v>83</v>
      </c>
      <c r="E40" t="s">
        <v>84</v>
      </c>
      <c r="F40" s="48"/>
      <c r="G40" s="4"/>
      <c r="H40" s="9" t="s">
        <v>25</v>
      </c>
      <c r="I40" s="9" t="s">
        <v>115</v>
      </c>
      <c r="J40" s="4" t="s">
        <v>198</v>
      </c>
      <c r="K40" s="4" t="s">
        <v>114</v>
      </c>
      <c r="L40" s="9" t="s">
        <v>198</v>
      </c>
      <c r="M40" s="9" t="s">
        <v>114</v>
      </c>
      <c r="N40" s="4"/>
      <c r="O40" s="4"/>
      <c r="P40" s="52"/>
      <c r="Q40" s="52"/>
      <c r="R40" s="4"/>
      <c r="S40" s="4"/>
      <c r="T40" s="9"/>
      <c r="U40" s="9"/>
      <c r="V40" s="12"/>
      <c r="W40" s="12"/>
      <c r="X40" s="12"/>
      <c r="Y40" s="12"/>
      <c r="Z40" s="4"/>
      <c r="AA40" s="4"/>
      <c r="AB40" s="9"/>
      <c r="AC40" s="9"/>
      <c r="AD40" s="4"/>
      <c r="AE40" s="4"/>
      <c r="AF40" s="10" t="s">
        <v>40</v>
      </c>
      <c r="AG40" s="10" t="s">
        <v>114</v>
      </c>
      <c r="AH40" s="10" t="s">
        <v>40</v>
      </c>
      <c r="AI40" s="10" t="s">
        <v>114</v>
      </c>
      <c r="AJ40" s="9"/>
      <c r="AK40" s="9"/>
      <c r="AL40" s="4"/>
      <c r="AM40" s="41"/>
      <c r="AN40" s="9"/>
      <c r="AO40" s="9"/>
      <c r="AP40" s="43"/>
      <c r="AQ40" s="43"/>
      <c r="AR40">
        <f t="shared" si="1"/>
        <v>5</v>
      </c>
    </row>
    <row r="41" spans="1:96" ht="16.5" customHeight="1" x14ac:dyDescent="0.25">
      <c r="A41">
        <v>513</v>
      </c>
      <c r="B41" t="s">
        <v>479</v>
      </c>
      <c r="C41" t="s">
        <v>480</v>
      </c>
      <c r="D41" t="s">
        <v>83</v>
      </c>
      <c r="E41" t="s">
        <v>84</v>
      </c>
      <c r="F41" s="48" t="s">
        <v>30</v>
      </c>
      <c r="G41" s="4" t="s">
        <v>114</v>
      </c>
      <c r="H41" s="12"/>
      <c r="I41" s="12"/>
      <c r="J41" s="4" t="s">
        <v>25</v>
      </c>
      <c r="K41" s="4" t="s">
        <v>115</v>
      </c>
      <c r="L41" s="9"/>
      <c r="M41" s="9"/>
      <c r="N41" s="4"/>
      <c r="O41" s="4"/>
      <c r="P41" s="52"/>
      <c r="Q41" s="52"/>
      <c r="R41" s="4"/>
      <c r="S41" s="4"/>
      <c r="T41" s="9" t="s">
        <v>24</v>
      </c>
      <c r="U41" s="9" t="s">
        <v>114</v>
      </c>
      <c r="V41" s="4" t="s">
        <v>24</v>
      </c>
      <c r="W41" s="4" t="s">
        <v>114</v>
      </c>
      <c r="X41" s="9" t="s">
        <v>24</v>
      </c>
      <c r="Y41" s="9" t="s">
        <v>114</v>
      </c>
      <c r="Z41" s="4"/>
      <c r="AA41" s="4"/>
      <c r="AB41" s="9"/>
      <c r="AC41" s="9"/>
      <c r="AD41" s="4"/>
      <c r="AE41" s="4"/>
      <c r="AF41" s="9"/>
      <c r="AG41" s="9"/>
      <c r="AH41" s="4"/>
      <c r="AI41" s="4"/>
      <c r="AJ41" s="9"/>
      <c r="AK41" s="9"/>
      <c r="AL41" s="4"/>
      <c r="AM41" s="41"/>
      <c r="AN41" s="9"/>
      <c r="AO41" s="9"/>
      <c r="AP41" s="43"/>
      <c r="AQ41" s="43"/>
      <c r="AR41">
        <f t="shared" si="1"/>
        <v>5</v>
      </c>
    </row>
    <row r="42" spans="1:96" ht="16.5" customHeight="1" x14ac:dyDescent="0.25">
      <c r="A42">
        <v>483</v>
      </c>
      <c r="B42" t="s">
        <v>481</v>
      </c>
      <c r="C42" t="s">
        <v>482</v>
      </c>
      <c r="D42" t="s">
        <v>168</v>
      </c>
      <c r="E42" t="s">
        <v>244</v>
      </c>
      <c r="F42" s="48"/>
      <c r="G42" s="4"/>
      <c r="H42" s="9"/>
      <c r="I42" s="9"/>
      <c r="J42" s="4"/>
      <c r="K42" s="4"/>
      <c r="L42" s="9"/>
      <c r="M42" s="9"/>
      <c r="N42" s="4"/>
      <c r="O42" s="4"/>
      <c r="P42" s="52"/>
      <c r="Q42" s="52"/>
      <c r="R42" s="4"/>
      <c r="S42" s="4"/>
      <c r="T42" s="9"/>
      <c r="U42" s="9"/>
      <c r="V42" s="4"/>
      <c r="W42" s="4"/>
      <c r="X42" s="9" t="s">
        <v>7</v>
      </c>
      <c r="Y42" s="9" t="s">
        <v>114</v>
      </c>
      <c r="Z42" s="4" t="s">
        <v>7</v>
      </c>
      <c r="AA42" s="4" t="s">
        <v>114</v>
      </c>
      <c r="AB42" s="9"/>
      <c r="AC42" s="9"/>
      <c r="AD42" s="4"/>
      <c r="AE42" s="4"/>
      <c r="AF42" s="9"/>
      <c r="AG42" s="9"/>
      <c r="AH42" s="4" t="s">
        <v>128</v>
      </c>
      <c r="AI42" s="4" t="s">
        <v>115</v>
      </c>
      <c r="AJ42" s="9" t="s">
        <v>128</v>
      </c>
      <c r="AK42" s="9" t="s">
        <v>115</v>
      </c>
      <c r="AL42" s="4"/>
      <c r="AM42" s="41"/>
      <c r="AN42" s="9"/>
      <c r="AO42" s="9"/>
      <c r="AP42" s="43"/>
      <c r="AQ42" s="43"/>
      <c r="AR42">
        <f t="shared" si="1"/>
        <v>4</v>
      </c>
    </row>
    <row r="43" spans="1:96" s="24" customFormat="1" ht="16.5" customHeight="1" x14ac:dyDescent="0.25">
      <c r="A43">
        <v>331</v>
      </c>
      <c r="B43" t="s">
        <v>483</v>
      </c>
      <c r="C43" t="s">
        <v>484</v>
      </c>
      <c r="D43" t="s">
        <v>153</v>
      </c>
      <c r="E43" t="s">
        <v>154</v>
      </c>
      <c r="F43" s="48"/>
      <c r="G43" s="41"/>
      <c r="H43" s="9"/>
      <c r="I43" s="9"/>
      <c r="J43" s="4"/>
      <c r="K43" s="4"/>
      <c r="L43" s="9"/>
      <c r="M43" s="9"/>
      <c r="N43" s="4" t="s">
        <v>194</v>
      </c>
      <c r="O43" s="4" t="s">
        <v>114</v>
      </c>
      <c r="P43" s="52"/>
      <c r="Q43" s="52"/>
      <c r="R43" s="4"/>
      <c r="S43" s="4"/>
      <c r="T43" s="9"/>
      <c r="U43" s="9"/>
      <c r="V43" s="4"/>
      <c r="W43" s="4"/>
      <c r="X43" s="66"/>
      <c r="Y43" s="66"/>
      <c r="Z43" s="4"/>
      <c r="AA43" s="4"/>
      <c r="AB43" s="9"/>
      <c r="AC43" s="9"/>
      <c r="AD43" s="75" t="s">
        <v>14</v>
      </c>
      <c r="AE43" s="75" t="s">
        <v>114</v>
      </c>
      <c r="AF43" s="75" t="s">
        <v>14</v>
      </c>
      <c r="AG43" s="75" t="s">
        <v>114</v>
      </c>
      <c r="AH43" s="75" t="s">
        <v>14</v>
      </c>
      <c r="AI43" s="75" t="s">
        <v>114</v>
      </c>
      <c r="AJ43" s="9"/>
      <c r="AK43" s="9"/>
      <c r="AL43" s="4"/>
      <c r="AM43" s="41"/>
      <c r="AN43" s="9"/>
      <c r="AO43" s="9"/>
      <c r="AP43" s="43"/>
      <c r="AQ43" s="43"/>
      <c r="AR43">
        <f t="shared" si="1"/>
        <v>4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</row>
    <row r="44" spans="1:96" ht="16.5" customHeight="1" x14ac:dyDescent="0.25">
      <c r="A44">
        <v>95</v>
      </c>
      <c r="B44" t="s">
        <v>485</v>
      </c>
      <c r="C44" t="s">
        <v>486</v>
      </c>
      <c r="D44" t="s">
        <v>91</v>
      </c>
      <c r="E44" t="s">
        <v>92</v>
      </c>
      <c r="F44" s="48" t="s">
        <v>128</v>
      </c>
      <c r="G44" s="4" t="s">
        <v>116</v>
      </c>
      <c r="H44" s="9" t="s">
        <v>128</v>
      </c>
      <c r="I44" s="9" t="s">
        <v>116</v>
      </c>
      <c r="J44" s="4"/>
      <c r="K44" s="4"/>
      <c r="L44" s="9"/>
      <c r="M44" s="9"/>
      <c r="N44" s="4"/>
      <c r="O44" s="4"/>
      <c r="P44" s="52" t="s">
        <v>192</v>
      </c>
      <c r="Q44" s="52" t="s">
        <v>114</v>
      </c>
      <c r="R44" s="4" t="s">
        <v>192</v>
      </c>
      <c r="S44" s="4" t="s">
        <v>114</v>
      </c>
      <c r="T44" s="9"/>
      <c r="U44" s="9"/>
      <c r="V44" s="4"/>
      <c r="W44" s="4"/>
      <c r="X44" s="9"/>
      <c r="Y44" s="9"/>
      <c r="Z44" s="4"/>
      <c r="AA44" s="4"/>
      <c r="AB44" s="9"/>
      <c r="AC44" s="9"/>
      <c r="AD44" s="4"/>
      <c r="AE44" s="4"/>
      <c r="AF44" s="9"/>
      <c r="AG44" s="9"/>
      <c r="AH44" s="4"/>
      <c r="AI44" s="4"/>
      <c r="AJ44" s="9"/>
      <c r="AK44" s="9"/>
      <c r="AL44" s="4"/>
      <c r="AM44" s="41"/>
      <c r="AN44" s="9"/>
      <c r="AO44" s="9"/>
      <c r="AP44" s="43"/>
      <c r="AQ44" s="43"/>
      <c r="AR44">
        <f t="shared" si="1"/>
        <v>4</v>
      </c>
    </row>
    <row r="45" spans="1:96" s="22" customFormat="1" ht="16.5" customHeight="1" x14ac:dyDescent="0.25">
      <c r="A45">
        <v>520</v>
      </c>
      <c r="B45" t="s">
        <v>487</v>
      </c>
      <c r="C45" t="s">
        <v>488</v>
      </c>
      <c r="D45" t="s">
        <v>99</v>
      </c>
      <c r="E45" t="s">
        <v>100</v>
      </c>
      <c r="F45" s="48"/>
      <c r="G45" s="4"/>
      <c r="H45" s="9"/>
      <c r="I45" s="9"/>
      <c r="J45" s="4" t="s">
        <v>128</v>
      </c>
      <c r="K45" s="4" t="s">
        <v>116</v>
      </c>
      <c r="L45" s="9" t="s">
        <v>128</v>
      </c>
      <c r="M45" s="9" t="s">
        <v>116</v>
      </c>
      <c r="N45" s="12"/>
      <c r="O45" s="12"/>
      <c r="P45" s="60"/>
      <c r="Q45" s="60"/>
      <c r="R45" s="4"/>
      <c r="S45" s="4"/>
      <c r="T45" s="9"/>
      <c r="U45" s="9"/>
      <c r="V45" s="75"/>
      <c r="W45" s="75"/>
      <c r="X45" s="9"/>
      <c r="Y45" s="9"/>
      <c r="Z45" s="10" t="s">
        <v>7</v>
      </c>
      <c r="AA45" s="10" t="s">
        <v>115</v>
      </c>
      <c r="AB45" s="9"/>
      <c r="AC45" s="9"/>
      <c r="AD45" s="4"/>
      <c r="AE45" s="4"/>
      <c r="AF45" s="75" t="s">
        <v>194</v>
      </c>
      <c r="AG45" s="75" t="s">
        <v>114</v>
      </c>
      <c r="AH45" s="4"/>
      <c r="AI45" s="4"/>
      <c r="AJ45" s="9"/>
      <c r="AK45" s="9"/>
      <c r="AL45" s="4"/>
      <c r="AM45" s="41"/>
      <c r="AN45" s="9"/>
      <c r="AO45" s="9"/>
      <c r="AP45" s="43"/>
      <c r="AQ45" s="43"/>
      <c r="AR45">
        <f t="shared" si="1"/>
        <v>4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</row>
    <row r="46" spans="1:96" ht="16.5" customHeight="1" x14ac:dyDescent="0.25">
      <c r="A46">
        <v>77</v>
      </c>
      <c r="B46" t="s">
        <v>489</v>
      </c>
      <c r="C46" t="s">
        <v>490</v>
      </c>
      <c r="D46" t="s">
        <v>155</v>
      </c>
      <c r="E46" t="s">
        <v>156</v>
      </c>
      <c r="F46" s="48" t="s">
        <v>223</v>
      </c>
      <c r="G46" s="4" t="s">
        <v>114</v>
      </c>
      <c r="H46" s="9" t="s">
        <v>223</v>
      </c>
      <c r="I46" s="9" t="s">
        <v>114</v>
      </c>
      <c r="J46" s="4"/>
      <c r="K46" s="4"/>
      <c r="L46" s="9"/>
      <c r="M46" s="9"/>
      <c r="N46" s="4"/>
      <c r="O46" s="4"/>
      <c r="P46" s="76" t="s">
        <v>24</v>
      </c>
      <c r="Q46" s="76" t="s">
        <v>114</v>
      </c>
      <c r="R46" s="75" t="s">
        <v>24</v>
      </c>
      <c r="S46" s="75" t="s">
        <v>114</v>
      </c>
      <c r="T46" s="9"/>
      <c r="U46" s="9"/>
      <c r="V46" s="4"/>
      <c r="W46" s="4"/>
      <c r="X46" s="12"/>
      <c r="Y46" s="12"/>
      <c r="Z46" s="12"/>
      <c r="AA46" s="12"/>
      <c r="AB46" s="9"/>
      <c r="AC46" s="9"/>
      <c r="AD46" s="4"/>
      <c r="AE46" s="4"/>
      <c r="AF46" s="9"/>
      <c r="AG46" s="9"/>
      <c r="AH46" s="4"/>
      <c r="AI46" s="4"/>
      <c r="AJ46" s="9"/>
      <c r="AK46" s="9"/>
      <c r="AL46" s="4"/>
      <c r="AM46" s="41"/>
      <c r="AN46" s="9"/>
      <c r="AO46" s="9"/>
      <c r="AP46" s="43"/>
      <c r="AQ46" s="43"/>
      <c r="AR46">
        <f t="shared" si="1"/>
        <v>4</v>
      </c>
    </row>
    <row r="47" spans="1:96" ht="16.5" customHeight="1" x14ac:dyDescent="0.25">
      <c r="A47">
        <v>127</v>
      </c>
      <c r="B47" t="s">
        <v>491</v>
      </c>
      <c r="C47" t="s">
        <v>492</v>
      </c>
      <c r="D47" t="s">
        <v>163</v>
      </c>
      <c r="E47" t="s">
        <v>164</v>
      </c>
      <c r="F47" s="48"/>
      <c r="G47" s="4"/>
      <c r="H47" s="9"/>
      <c r="I47" s="9"/>
      <c r="J47" s="80" t="s">
        <v>198</v>
      </c>
      <c r="K47" s="80" t="s">
        <v>115</v>
      </c>
      <c r="L47" s="80" t="s">
        <v>198</v>
      </c>
      <c r="M47" s="80" t="s">
        <v>115</v>
      </c>
      <c r="N47" s="4"/>
      <c r="O47" s="4"/>
      <c r="P47" s="52" t="s">
        <v>192</v>
      </c>
      <c r="Q47" s="52" t="s">
        <v>115</v>
      </c>
      <c r="R47" s="4" t="s">
        <v>192</v>
      </c>
      <c r="S47" s="4" t="s">
        <v>115</v>
      </c>
      <c r="T47" s="9"/>
      <c r="U47" s="9"/>
      <c r="V47" s="80" t="s">
        <v>7</v>
      </c>
      <c r="W47" s="80" t="s">
        <v>114</v>
      </c>
      <c r="X47" s="9"/>
      <c r="Y47" s="9"/>
      <c r="Z47" s="80" t="s">
        <v>34</v>
      </c>
      <c r="AA47" s="80" t="s">
        <v>114</v>
      </c>
      <c r="AB47" s="9" t="s">
        <v>7</v>
      </c>
      <c r="AC47" s="9" t="s">
        <v>114</v>
      </c>
      <c r="AD47" s="4" t="s">
        <v>7</v>
      </c>
      <c r="AE47" s="4" t="s">
        <v>114</v>
      </c>
      <c r="AF47" s="9"/>
      <c r="AG47" s="9"/>
      <c r="AH47" s="4"/>
      <c r="AI47" s="4"/>
      <c r="AJ47" s="9"/>
      <c r="AK47" s="9"/>
      <c r="AL47" s="4"/>
      <c r="AM47" s="41"/>
      <c r="AN47" s="9"/>
      <c r="AO47" s="9"/>
      <c r="AP47" s="43"/>
      <c r="AQ47" s="43"/>
      <c r="AR47">
        <f t="shared" si="1"/>
        <v>8</v>
      </c>
    </row>
    <row r="48" spans="1:96" ht="16.5" customHeight="1" x14ac:dyDescent="0.25">
      <c r="A48">
        <v>460</v>
      </c>
      <c r="B48" t="s">
        <v>493</v>
      </c>
      <c r="C48" t="s">
        <v>243</v>
      </c>
      <c r="D48" t="s">
        <v>184</v>
      </c>
      <c r="E48" t="s">
        <v>185</v>
      </c>
      <c r="F48" s="48"/>
      <c r="G48" s="4"/>
      <c r="H48" s="9"/>
      <c r="I48" s="9"/>
      <c r="J48" s="4"/>
      <c r="K48" s="4"/>
      <c r="L48" s="9"/>
      <c r="M48" s="9"/>
      <c r="N48" s="4" t="s">
        <v>198</v>
      </c>
      <c r="O48" s="4" t="s">
        <v>115</v>
      </c>
      <c r="P48" s="52" t="s">
        <v>198</v>
      </c>
      <c r="Q48" s="52" t="s">
        <v>115</v>
      </c>
      <c r="R48" s="4"/>
      <c r="S48" s="4"/>
      <c r="T48" s="9" t="s">
        <v>192</v>
      </c>
      <c r="U48" s="9" t="s">
        <v>114</v>
      </c>
      <c r="V48" s="4" t="s">
        <v>192</v>
      </c>
      <c r="W48" s="4" t="s">
        <v>114</v>
      </c>
      <c r="X48" s="9"/>
      <c r="Y48" s="9"/>
      <c r="Z48" s="4"/>
      <c r="AA48" s="4"/>
      <c r="AB48" s="9"/>
      <c r="AC48" s="9"/>
      <c r="AD48" s="4"/>
      <c r="AE48" s="4"/>
      <c r="AF48" s="9"/>
      <c r="AG48" s="9"/>
      <c r="AH48" s="4"/>
      <c r="AI48" s="4"/>
      <c r="AJ48" s="9"/>
      <c r="AK48" s="9"/>
      <c r="AL48" s="4"/>
      <c r="AM48" s="41"/>
      <c r="AN48" s="9"/>
      <c r="AO48" s="9"/>
      <c r="AP48" s="43"/>
      <c r="AQ48" s="43"/>
      <c r="AR48">
        <f t="shared" si="1"/>
        <v>4</v>
      </c>
    </row>
    <row r="49" spans="1:96" s="22" customFormat="1" ht="16.5" customHeight="1" x14ac:dyDescent="0.25">
      <c r="A49">
        <v>106</v>
      </c>
      <c r="B49" t="s">
        <v>494</v>
      </c>
      <c r="C49" t="s">
        <v>495</v>
      </c>
      <c r="D49" t="s">
        <v>157</v>
      </c>
      <c r="E49" t="s">
        <v>158</v>
      </c>
      <c r="F49" s="48" t="s">
        <v>42</v>
      </c>
      <c r="G49" s="4" t="s">
        <v>114</v>
      </c>
      <c r="H49" s="9" t="s">
        <v>42</v>
      </c>
      <c r="I49" s="9" t="s">
        <v>114</v>
      </c>
      <c r="J49" s="4"/>
      <c r="K49" s="4"/>
      <c r="L49" s="9"/>
      <c r="M49" s="9"/>
      <c r="N49" s="4"/>
      <c r="O49" s="4"/>
      <c r="P49" s="52"/>
      <c r="Q49" s="52"/>
      <c r="R49" s="4"/>
      <c r="S49" s="4"/>
      <c r="T49" s="9" t="s">
        <v>192</v>
      </c>
      <c r="U49" s="9" t="s">
        <v>115</v>
      </c>
      <c r="V49" s="4" t="s">
        <v>192</v>
      </c>
      <c r="W49" s="4" t="s">
        <v>115</v>
      </c>
      <c r="X49" s="9"/>
      <c r="Y49" s="9"/>
      <c r="Z49" s="4"/>
      <c r="AA49" s="4"/>
      <c r="AB49" s="9"/>
      <c r="AC49" s="9"/>
      <c r="AD49" s="4"/>
      <c r="AE49" s="4"/>
      <c r="AF49" s="9"/>
      <c r="AG49" s="9"/>
      <c r="AH49" s="4"/>
      <c r="AI49" s="4"/>
      <c r="AJ49" s="9"/>
      <c r="AK49" s="9"/>
      <c r="AL49" s="4"/>
      <c r="AM49" s="41"/>
      <c r="AN49" s="9"/>
      <c r="AO49" s="9"/>
      <c r="AP49" s="43"/>
      <c r="AQ49" s="43"/>
      <c r="AR49">
        <f t="shared" si="1"/>
        <v>4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</row>
    <row r="50" spans="1:96" ht="16.5" customHeight="1" x14ac:dyDescent="0.25">
      <c r="A50">
        <v>462</v>
      </c>
      <c r="B50" t="s">
        <v>496</v>
      </c>
      <c r="C50" t="s">
        <v>497</v>
      </c>
      <c r="D50" t="s">
        <v>166</v>
      </c>
      <c r="E50" t="s">
        <v>167</v>
      </c>
      <c r="F50" s="82" t="s">
        <v>237</v>
      </c>
      <c r="G50" s="10" t="s">
        <v>115</v>
      </c>
      <c r="H50" s="10" t="s">
        <v>237</v>
      </c>
      <c r="I50" s="10" t="s">
        <v>115</v>
      </c>
      <c r="J50" s="4"/>
      <c r="K50" s="4"/>
      <c r="L50" s="9"/>
      <c r="M50" s="9"/>
      <c r="N50" s="4"/>
      <c r="O50" s="4"/>
      <c r="P50" s="76" t="s">
        <v>128</v>
      </c>
      <c r="Q50" s="76" t="s">
        <v>114</v>
      </c>
      <c r="R50" s="4"/>
      <c r="S50" s="4"/>
      <c r="T50" s="9"/>
      <c r="U50" s="9"/>
      <c r="V50" s="4"/>
      <c r="W50" s="4"/>
      <c r="X50" s="12"/>
      <c r="Y50" s="12"/>
      <c r="Z50" s="12"/>
      <c r="AA50" s="12"/>
      <c r="AB50" s="9"/>
      <c r="AC50" s="9"/>
      <c r="AD50" s="10" t="s">
        <v>14</v>
      </c>
      <c r="AE50" s="10" t="s">
        <v>114</v>
      </c>
      <c r="AF50" s="64"/>
      <c r="AG50" s="64"/>
      <c r="AH50" s="4"/>
      <c r="AI50" s="4"/>
      <c r="AJ50" s="75" t="s">
        <v>14</v>
      </c>
      <c r="AK50" s="75" t="s">
        <v>114</v>
      </c>
      <c r="AL50" s="4"/>
      <c r="AM50" s="41"/>
      <c r="AN50" s="9"/>
      <c r="AO50" s="9"/>
      <c r="AP50" s="43"/>
      <c r="AQ50" s="43"/>
      <c r="AR50">
        <f t="shared" si="1"/>
        <v>5</v>
      </c>
    </row>
    <row r="51" spans="1:96" ht="16.5" customHeight="1" x14ac:dyDescent="0.25">
      <c r="A51">
        <v>503</v>
      </c>
      <c r="B51" t="s">
        <v>498</v>
      </c>
      <c r="C51" t="s">
        <v>499</v>
      </c>
      <c r="D51" t="s">
        <v>91</v>
      </c>
      <c r="E51" t="s">
        <v>92</v>
      </c>
      <c r="F51" s="48"/>
      <c r="G51" s="4"/>
      <c r="H51" s="9"/>
      <c r="I51" s="9"/>
      <c r="J51" s="4"/>
      <c r="K51" s="4"/>
      <c r="L51" s="9"/>
      <c r="M51" s="9"/>
      <c r="N51" s="4"/>
      <c r="O51" s="4"/>
      <c r="P51" s="52"/>
      <c r="Q51" s="52"/>
      <c r="R51" s="4"/>
      <c r="S51" s="4"/>
      <c r="T51" s="9"/>
      <c r="U51" s="9"/>
      <c r="V51" s="4"/>
      <c r="W51" s="4"/>
      <c r="X51" s="9" t="s">
        <v>192</v>
      </c>
      <c r="Y51" s="9" t="s">
        <v>115</v>
      </c>
      <c r="Z51" s="4" t="s">
        <v>192</v>
      </c>
      <c r="AA51" s="4" t="s">
        <v>115</v>
      </c>
      <c r="AB51" s="12"/>
      <c r="AC51" s="12"/>
      <c r="AD51" s="4" t="s">
        <v>7</v>
      </c>
      <c r="AE51" s="4" t="s">
        <v>115</v>
      </c>
      <c r="AF51" s="9"/>
      <c r="AG51" s="9"/>
      <c r="AH51" s="75" t="s">
        <v>194</v>
      </c>
      <c r="AI51" s="75" t="s">
        <v>114</v>
      </c>
      <c r="AJ51" s="9"/>
      <c r="AK51" s="9"/>
      <c r="AL51" s="4"/>
      <c r="AM51" s="41"/>
      <c r="AN51" s="9"/>
      <c r="AO51" s="9"/>
      <c r="AP51" s="43"/>
      <c r="AQ51" s="43"/>
      <c r="AR51">
        <f t="shared" si="1"/>
        <v>4</v>
      </c>
    </row>
    <row r="52" spans="1:96" s="22" customFormat="1" ht="16.5" customHeight="1" x14ac:dyDescent="0.25">
      <c r="A52">
        <v>563</v>
      </c>
      <c r="B52" t="s">
        <v>500</v>
      </c>
      <c r="C52" t="s">
        <v>501</v>
      </c>
      <c r="D52" t="s">
        <v>161</v>
      </c>
      <c r="E52" t="s">
        <v>162</v>
      </c>
      <c r="F52" s="48"/>
      <c r="G52" s="4"/>
      <c r="H52" s="9"/>
      <c r="I52" s="9"/>
      <c r="J52" s="4"/>
      <c r="K52" s="4"/>
      <c r="L52" s="75" t="s">
        <v>237</v>
      </c>
      <c r="M52" s="75" t="s">
        <v>115</v>
      </c>
      <c r="N52" s="4" t="s">
        <v>237</v>
      </c>
      <c r="O52" s="4" t="s">
        <v>114</v>
      </c>
      <c r="P52" s="52"/>
      <c r="Q52" s="52"/>
      <c r="R52" s="4" t="s">
        <v>198</v>
      </c>
      <c r="S52" s="4" t="s">
        <v>114</v>
      </c>
      <c r="T52" s="9"/>
      <c r="U52" s="9"/>
      <c r="V52" s="4"/>
      <c r="W52" s="4"/>
      <c r="X52" s="9"/>
      <c r="Y52" s="9"/>
      <c r="Z52" s="4"/>
      <c r="AA52" s="4"/>
      <c r="AB52" s="9" t="s">
        <v>192</v>
      </c>
      <c r="AC52" s="9" t="s">
        <v>114</v>
      </c>
      <c r="AD52" s="4" t="s">
        <v>192</v>
      </c>
      <c r="AE52" s="4" t="s">
        <v>114</v>
      </c>
      <c r="AF52" s="9"/>
      <c r="AG52" s="9"/>
      <c r="AH52" s="4"/>
      <c r="AI52" s="4"/>
      <c r="AJ52" s="9"/>
      <c r="AK52" s="9"/>
      <c r="AL52" s="4"/>
      <c r="AM52" s="41"/>
      <c r="AN52" s="9"/>
      <c r="AO52" s="9"/>
      <c r="AP52" s="43"/>
      <c r="AQ52" s="43"/>
      <c r="AR52">
        <f t="shared" si="1"/>
        <v>5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</row>
    <row r="53" spans="1:96" ht="16.5" customHeight="1" x14ac:dyDescent="0.25">
      <c r="A53">
        <v>486</v>
      </c>
      <c r="B53" t="s">
        <v>502</v>
      </c>
      <c r="C53" t="s">
        <v>503</v>
      </c>
      <c r="D53" t="s">
        <v>161</v>
      </c>
      <c r="E53" t="s">
        <v>162</v>
      </c>
      <c r="F53" s="48"/>
      <c r="G53" s="4"/>
      <c r="H53" s="9"/>
      <c r="I53" s="9"/>
      <c r="J53" s="4"/>
      <c r="K53" s="4"/>
      <c r="L53" s="9"/>
      <c r="M53" s="9"/>
      <c r="N53" s="4"/>
      <c r="O53" s="4"/>
      <c r="P53" s="52"/>
      <c r="Q53" s="52"/>
      <c r="R53" s="4"/>
      <c r="S53" s="4"/>
      <c r="T53" s="9"/>
      <c r="U53" s="9"/>
      <c r="V53" s="4"/>
      <c r="W53" s="4"/>
      <c r="X53" s="9"/>
      <c r="Y53" s="9"/>
      <c r="Z53" s="4"/>
      <c r="AA53" s="4"/>
      <c r="AB53" s="9" t="s">
        <v>192</v>
      </c>
      <c r="AC53" s="9" t="s">
        <v>115</v>
      </c>
      <c r="AD53" s="4" t="s">
        <v>192</v>
      </c>
      <c r="AE53" s="4" t="s">
        <v>115</v>
      </c>
      <c r="AF53" s="9"/>
      <c r="AG53" s="9"/>
      <c r="AH53" s="4" t="s">
        <v>221</v>
      </c>
      <c r="AI53" s="4" t="s">
        <v>114</v>
      </c>
      <c r="AJ53" s="9" t="s">
        <v>221</v>
      </c>
      <c r="AK53" s="9" t="s">
        <v>114</v>
      </c>
      <c r="AL53" s="4"/>
      <c r="AM53" s="41"/>
      <c r="AN53" s="9"/>
      <c r="AO53" s="9"/>
      <c r="AP53" s="43"/>
      <c r="AQ53" s="43"/>
      <c r="AR53">
        <f t="shared" si="1"/>
        <v>4</v>
      </c>
    </row>
    <row r="54" spans="1:96" ht="16.5" customHeight="1" x14ac:dyDescent="0.25">
      <c r="A54">
        <v>88</v>
      </c>
      <c r="B54" t="s">
        <v>504</v>
      </c>
      <c r="C54" t="s">
        <v>505</v>
      </c>
      <c r="D54" t="s">
        <v>166</v>
      </c>
      <c r="E54" t="s">
        <v>167</v>
      </c>
      <c r="F54" s="70" t="s">
        <v>223</v>
      </c>
      <c r="G54" s="69" t="s">
        <v>115</v>
      </c>
      <c r="H54" s="69" t="s">
        <v>223</v>
      </c>
      <c r="I54" s="69" t="s">
        <v>115</v>
      </c>
      <c r="J54" s="4" t="s">
        <v>223</v>
      </c>
      <c r="K54" s="4" t="s">
        <v>115</v>
      </c>
      <c r="L54" s="9"/>
      <c r="M54" s="9"/>
      <c r="N54" s="66"/>
      <c r="O54" s="66"/>
      <c r="P54" s="52"/>
      <c r="Q54" s="52"/>
      <c r="R54" s="4"/>
      <c r="S54" s="4"/>
      <c r="T54" s="9"/>
      <c r="U54" s="9"/>
      <c r="V54" s="4"/>
      <c r="W54" s="4"/>
      <c r="X54" s="9"/>
      <c r="Y54" s="9"/>
      <c r="Z54" s="4"/>
      <c r="AA54" s="4"/>
      <c r="AB54" s="9"/>
      <c r="AC54" s="9"/>
      <c r="AD54" s="12"/>
      <c r="AE54" s="12"/>
      <c r="AF54" s="12"/>
      <c r="AG54" s="12"/>
      <c r="AH54" s="4"/>
      <c r="AI54" s="4"/>
      <c r="AJ54" s="9"/>
      <c r="AK54" s="9"/>
      <c r="AL54" s="4"/>
      <c r="AM54" s="41"/>
      <c r="AN54" s="9"/>
      <c r="AO54" s="9"/>
      <c r="AP54" s="43"/>
      <c r="AQ54" s="43"/>
      <c r="AR54">
        <f t="shared" si="1"/>
        <v>3</v>
      </c>
    </row>
    <row r="55" spans="1:96" ht="16.5" customHeight="1" x14ac:dyDescent="0.25">
      <c r="A55">
        <v>89</v>
      </c>
      <c r="B55" t="s">
        <v>506</v>
      </c>
      <c r="C55" t="s">
        <v>507</v>
      </c>
      <c r="D55" t="s">
        <v>169</v>
      </c>
      <c r="E55" t="s">
        <v>170</v>
      </c>
      <c r="F55" s="48"/>
      <c r="G55" s="4"/>
      <c r="H55" s="9"/>
      <c r="I55" s="9"/>
      <c r="J55" s="12"/>
      <c r="K55" s="12"/>
      <c r="L55" s="12"/>
      <c r="M55" s="12"/>
      <c r="N55" s="4"/>
      <c r="O55" s="4"/>
      <c r="P55" s="52"/>
      <c r="Q55" s="52"/>
      <c r="R55" s="4" t="s">
        <v>198</v>
      </c>
      <c r="S55" s="4" t="s">
        <v>115</v>
      </c>
      <c r="T55" s="9"/>
      <c r="U55" s="9"/>
      <c r="V55" s="84" t="s">
        <v>128</v>
      </c>
      <c r="W55" s="84" t="s">
        <v>114</v>
      </c>
      <c r="X55" s="84" t="s">
        <v>128</v>
      </c>
      <c r="Y55" s="84" t="s">
        <v>114</v>
      </c>
      <c r="Z55" s="4"/>
      <c r="AA55" s="4"/>
      <c r="AB55" s="9"/>
      <c r="AC55" s="9"/>
      <c r="AD55" s="4"/>
      <c r="AE55" s="4"/>
      <c r="AF55" s="9" t="s">
        <v>221</v>
      </c>
      <c r="AG55" s="9" t="s">
        <v>115</v>
      </c>
      <c r="AH55" s="4"/>
      <c r="AI55" s="4"/>
      <c r="AJ55" s="9"/>
      <c r="AK55" s="9"/>
      <c r="AL55" s="4"/>
      <c r="AM55" s="41"/>
      <c r="AN55" s="9"/>
      <c r="AO55" s="9"/>
      <c r="AP55" s="43"/>
      <c r="AQ55" s="43"/>
      <c r="AR55">
        <f t="shared" si="1"/>
        <v>4</v>
      </c>
    </row>
    <row r="56" spans="1:96" ht="16.5" customHeight="1" x14ac:dyDescent="0.25">
      <c r="A56">
        <v>489</v>
      </c>
      <c r="B56" t="s">
        <v>508</v>
      </c>
      <c r="C56" t="s">
        <v>509</v>
      </c>
      <c r="D56" t="s">
        <v>74</v>
      </c>
      <c r="E56" t="s">
        <v>75</v>
      </c>
      <c r="F56" s="48"/>
      <c r="G56" s="4"/>
      <c r="H56" s="9"/>
      <c r="I56" s="9"/>
      <c r="J56" s="80" t="s">
        <v>128</v>
      </c>
      <c r="K56" s="80" t="s">
        <v>114</v>
      </c>
      <c r="L56" s="9"/>
      <c r="M56" s="9"/>
      <c r="N56" s="75" t="s">
        <v>198</v>
      </c>
      <c r="O56" s="75" t="s">
        <v>114</v>
      </c>
      <c r="P56" s="52"/>
      <c r="Q56" s="52"/>
      <c r="R56" s="4"/>
      <c r="S56" s="4"/>
      <c r="T56" s="9"/>
      <c r="U56" s="9"/>
      <c r="V56" s="4"/>
      <c r="W56" s="4"/>
      <c r="X56" s="9"/>
      <c r="Y56" s="9"/>
      <c r="Z56" s="4" t="s">
        <v>205</v>
      </c>
      <c r="AA56" s="4" t="s">
        <v>115</v>
      </c>
      <c r="AB56" s="9" t="s">
        <v>205</v>
      </c>
      <c r="AC56" s="9" t="s">
        <v>115</v>
      </c>
      <c r="AD56" s="4"/>
      <c r="AE56" s="4"/>
      <c r="AF56" s="9"/>
      <c r="AG56" s="9"/>
      <c r="AH56" s="4" t="s">
        <v>221</v>
      </c>
      <c r="AI56" s="4" t="s">
        <v>115</v>
      </c>
      <c r="AJ56" s="9" t="s">
        <v>221</v>
      </c>
      <c r="AK56" s="9" t="s">
        <v>115</v>
      </c>
      <c r="AL56" s="4"/>
      <c r="AM56" s="41"/>
      <c r="AN56" s="9"/>
      <c r="AO56" s="9"/>
      <c r="AP56" s="43"/>
      <c r="AQ56" s="43"/>
      <c r="AR56">
        <f t="shared" si="1"/>
        <v>6</v>
      </c>
    </row>
    <row r="57" spans="1:96" ht="16.5" customHeight="1" x14ac:dyDescent="0.25">
      <c r="A57">
        <v>543</v>
      </c>
      <c r="B57" t="s">
        <v>510</v>
      </c>
      <c r="C57" t="s">
        <v>412</v>
      </c>
      <c r="D57" t="s">
        <v>181</v>
      </c>
      <c r="E57" t="s">
        <v>182</v>
      </c>
      <c r="F57" s="48"/>
      <c r="G57" s="4"/>
      <c r="H57" s="9"/>
      <c r="I57" s="9"/>
      <c r="J57" s="4"/>
      <c r="K57" s="4"/>
      <c r="L57" s="9"/>
      <c r="M57" s="9"/>
      <c r="N57" s="4"/>
      <c r="O57" s="4"/>
      <c r="P57" s="52"/>
      <c r="Q57" s="52"/>
      <c r="R57" s="4"/>
      <c r="S57" s="4"/>
      <c r="T57" s="9"/>
      <c r="U57" s="9"/>
      <c r="V57" s="4"/>
      <c r="W57" s="4"/>
      <c r="X57" s="9"/>
      <c r="Y57" s="9"/>
      <c r="Z57" s="4" t="s">
        <v>205</v>
      </c>
      <c r="AA57" s="4" t="s">
        <v>114</v>
      </c>
      <c r="AB57" s="9" t="s">
        <v>205</v>
      </c>
      <c r="AC57" s="9" t="s">
        <v>114</v>
      </c>
      <c r="AD57" s="4"/>
      <c r="AE57" s="4"/>
      <c r="AF57" s="9"/>
      <c r="AG57" s="9"/>
      <c r="AH57" s="4" t="s">
        <v>145</v>
      </c>
      <c r="AI57" s="4" t="s">
        <v>114</v>
      </c>
      <c r="AJ57" s="9" t="s">
        <v>145</v>
      </c>
      <c r="AK57" s="9" t="s">
        <v>114</v>
      </c>
      <c r="AL57" s="4"/>
      <c r="AM57" s="41"/>
      <c r="AN57" s="9"/>
      <c r="AO57" s="9"/>
      <c r="AP57" s="43"/>
      <c r="AQ57" s="43"/>
      <c r="AR57">
        <f t="shared" si="1"/>
        <v>4</v>
      </c>
    </row>
    <row r="58" spans="1:96" s="22" customFormat="1" x14ac:dyDescent="0.25">
      <c r="A58">
        <v>510</v>
      </c>
      <c r="B58" t="s">
        <v>511</v>
      </c>
      <c r="C58" t="s">
        <v>512</v>
      </c>
      <c r="D58" t="s">
        <v>175</v>
      </c>
      <c r="E58" t="s">
        <v>176</v>
      </c>
      <c r="F58" s="48"/>
      <c r="G58" s="4"/>
      <c r="H58" s="9"/>
      <c r="I58" s="9"/>
      <c r="J58" s="4" t="s">
        <v>25</v>
      </c>
      <c r="K58" s="4" t="s">
        <v>114</v>
      </c>
      <c r="L58" s="9"/>
      <c r="M58" s="9"/>
      <c r="N58" s="4"/>
      <c r="O58" s="4"/>
      <c r="P58" s="52"/>
      <c r="Q58" s="52"/>
      <c r="R58" s="4"/>
      <c r="S58" s="4"/>
      <c r="T58" s="9" t="s">
        <v>24</v>
      </c>
      <c r="U58" s="9" t="s">
        <v>115</v>
      </c>
      <c r="V58" s="4" t="s">
        <v>24</v>
      </c>
      <c r="W58" s="4" t="s">
        <v>115</v>
      </c>
      <c r="X58" s="9"/>
      <c r="Y58" s="9"/>
      <c r="Z58" s="64"/>
      <c r="AA58" s="64"/>
      <c r="AB58" s="75" t="s">
        <v>7</v>
      </c>
      <c r="AC58" s="75" t="s">
        <v>115</v>
      </c>
      <c r="AD58" s="4"/>
      <c r="AE58" s="4"/>
      <c r="AF58" s="9"/>
      <c r="AG58" s="9"/>
      <c r="AH58" s="4"/>
      <c r="AI58" s="4"/>
      <c r="AJ58" s="9"/>
      <c r="AK58" s="9"/>
      <c r="AL58" s="4"/>
      <c r="AM58" s="41"/>
      <c r="AN58" s="9"/>
      <c r="AO58" s="9"/>
      <c r="AP58" s="43"/>
      <c r="AQ58" s="43"/>
      <c r="AR58">
        <f t="shared" si="1"/>
        <v>4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1:96" ht="18" customHeight="1" x14ac:dyDescent="0.25">
      <c r="A59">
        <v>565</v>
      </c>
      <c r="B59" t="s">
        <v>513</v>
      </c>
      <c r="C59" t="s">
        <v>514</v>
      </c>
      <c r="D59" t="s">
        <v>80</v>
      </c>
      <c r="E59" t="s">
        <v>62</v>
      </c>
      <c r="F59" s="48" t="s">
        <v>25</v>
      </c>
      <c r="G59" s="4" t="s">
        <v>114</v>
      </c>
      <c r="H59" s="9" t="s">
        <v>25</v>
      </c>
      <c r="I59" s="9" t="s">
        <v>114</v>
      </c>
      <c r="J59" s="4"/>
      <c r="K59" s="4"/>
      <c r="L59" s="9"/>
      <c r="M59" s="9"/>
      <c r="N59" s="4"/>
      <c r="O59" s="4"/>
      <c r="P59" s="52"/>
      <c r="Q59" s="52"/>
      <c r="R59" s="4"/>
      <c r="S59" s="4"/>
      <c r="T59" s="9" t="s">
        <v>195</v>
      </c>
      <c r="U59" s="9" t="s">
        <v>114</v>
      </c>
      <c r="V59" s="4" t="s">
        <v>195</v>
      </c>
      <c r="W59" s="4" t="s">
        <v>114</v>
      </c>
      <c r="X59" s="9" t="s">
        <v>195</v>
      </c>
      <c r="Y59" s="9" t="s">
        <v>114</v>
      </c>
      <c r="Z59" s="4"/>
      <c r="AA59" s="4"/>
      <c r="AB59" s="9"/>
      <c r="AC59" s="9"/>
      <c r="AD59" s="4"/>
      <c r="AE59" s="4"/>
      <c r="AF59" s="9"/>
      <c r="AG59" s="9"/>
      <c r="AH59" s="4"/>
      <c r="AI59" s="4"/>
      <c r="AJ59" s="9"/>
      <c r="AK59" s="9"/>
      <c r="AL59" s="4"/>
      <c r="AM59" s="41"/>
      <c r="AN59" s="9"/>
      <c r="AO59" s="9"/>
      <c r="AP59" s="43"/>
      <c r="AQ59" s="43"/>
      <c r="AR59">
        <f t="shared" si="1"/>
        <v>5</v>
      </c>
    </row>
    <row r="60" spans="1:96" ht="18.95" customHeight="1" x14ac:dyDescent="0.25">
      <c r="A60">
        <v>552</v>
      </c>
      <c r="B60" t="s">
        <v>515</v>
      </c>
      <c r="C60" t="s">
        <v>516</v>
      </c>
      <c r="D60" t="s">
        <v>70</v>
      </c>
      <c r="E60" t="s">
        <v>71</v>
      </c>
      <c r="F60" s="48"/>
      <c r="G60" s="4"/>
      <c r="H60" s="9"/>
      <c r="I60" s="9"/>
      <c r="J60" s="4"/>
      <c r="K60" s="4"/>
      <c r="L60" s="9"/>
      <c r="M60" s="9"/>
      <c r="N60" s="4"/>
      <c r="O60" s="4"/>
      <c r="P60" s="52"/>
      <c r="Q60" s="52"/>
      <c r="R60" s="4"/>
      <c r="S60" s="4"/>
      <c r="T60" s="9"/>
      <c r="U60" s="9"/>
      <c r="V60" s="4"/>
      <c r="W60" s="4"/>
      <c r="X60" s="9"/>
      <c r="Y60" s="9"/>
      <c r="Z60" s="4" t="s">
        <v>18</v>
      </c>
      <c r="AA60" s="4" t="s">
        <v>114</v>
      </c>
      <c r="AB60" s="9" t="s">
        <v>18</v>
      </c>
      <c r="AC60" s="9" t="s">
        <v>114</v>
      </c>
      <c r="AD60" s="4" t="s">
        <v>205</v>
      </c>
      <c r="AE60" s="4" t="s">
        <v>115</v>
      </c>
      <c r="AF60" s="9" t="s">
        <v>205</v>
      </c>
      <c r="AG60" s="9" t="s">
        <v>115</v>
      </c>
      <c r="AH60" s="4"/>
      <c r="AI60" s="4"/>
      <c r="AJ60" s="9"/>
      <c r="AK60" s="9"/>
      <c r="AL60" s="4"/>
      <c r="AM60" s="41"/>
      <c r="AN60" s="9"/>
      <c r="AO60" s="9"/>
      <c r="AP60" s="43"/>
      <c r="AQ60" s="43"/>
      <c r="AR60">
        <f t="shared" si="1"/>
        <v>4</v>
      </c>
    </row>
    <row r="61" spans="1:96" s="16" customFormat="1" x14ac:dyDescent="0.25">
      <c r="A61">
        <v>373</v>
      </c>
      <c r="B61" t="s">
        <v>517</v>
      </c>
      <c r="C61" t="s">
        <v>518</v>
      </c>
      <c r="D61" t="s">
        <v>80</v>
      </c>
      <c r="E61" t="s">
        <v>62</v>
      </c>
      <c r="F61" s="48" t="s">
        <v>269</v>
      </c>
      <c r="G61" s="4" t="s">
        <v>114</v>
      </c>
      <c r="H61" s="66"/>
      <c r="I61" s="66"/>
      <c r="J61" s="4"/>
      <c r="K61" s="4"/>
      <c r="L61" s="66"/>
      <c r="M61" s="66"/>
      <c r="N61" s="4"/>
      <c r="O61" s="4"/>
      <c r="P61" s="52"/>
      <c r="Q61" s="52"/>
      <c r="R61" s="4"/>
      <c r="S61" s="4"/>
      <c r="T61" s="9"/>
      <c r="U61" s="9"/>
      <c r="V61" s="4"/>
      <c r="W61" s="4"/>
      <c r="X61" s="75" t="s">
        <v>7</v>
      </c>
      <c r="Y61" s="75" t="s">
        <v>115</v>
      </c>
      <c r="Z61" s="4"/>
      <c r="AA61" s="4"/>
      <c r="AB61" s="9"/>
      <c r="AC61" s="9"/>
      <c r="AD61" s="4" t="s">
        <v>63</v>
      </c>
      <c r="AE61" s="4" t="s">
        <v>114</v>
      </c>
      <c r="AF61" s="9" t="s">
        <v>63</v>
      </c>
      <c r="AG61" s="9" t="s">
        <v>114</v>
      </c>
      <c r="AH61" s="4"/>
      <c r="AI61" s="4"/>
      <c r="AJ61" s="9"/>
      <c r="AK61" s="9"/>
      <c r="AL61" s="4"/>
      <c r="AM61" s="41"/>
      <c r="AN61" s="9"/>
      <c r="AO61" s="9"/>
      <c r="AP61" s="43"/>
      <c r="AQ61" s="43"/>
      <c r="AR61">
        <f t="shared" si="1"/>
        <v>4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1:96" ht="12" customHeight="1" x14ac:dyDescent="0.25">
      <c r="A62">
        <v>458</v>
      </c>
      <c r="B62" t="s">
        <v>519</v>
      </c>
      <c r="C62" t="s">
        <v>165</v>
      </c>
      <c r="D62" t="s">
        <v>247</v>
      </c>
      <c r="E62" t="s">
        <v>248</v>
      </c>
      <c r="F62" s="70" t="s">
        <v>41</v>
      </c>
      <c r="G62" s="69" t="s">
        <v>115</v>
      </c>
      <c r="H62" s="9"/>
      <c r="I62" s="9"/>
      <c r="J62" s="4"/>
      <c r="K62" s="4"/>
      <c r="L62" s="9"/>
      <c r="M62" s="9"/>
      <c r="N62" s="75" t="s">
        <v>65</v>
      </c>
      <c r="O62" s="75" t="s">
        <v>114</v>
      </c>
      <c r="P62" s="65"/>
      <c r="Q62" s="65"/>
      <c r="R62" s="10" t="s">
        <v>10</v>
      </c>
      <c r="S62" s="10" t="s">
        <v>115</v>
      </c>
      <c r="T62" s="9"/>
      <c r="U62" s="9"/>
      <c r="V62" s="72" t="s">
        <v>264</v>
      </c>
      <c r="W62" s="72" t="s">
        <v>114</v>
      </c>
      <c r="X62" s="12"/>
      <c r="Y62" s="12"/>
      <c r="Z62" s="4"/>
      <c r="AA62" s="4"/>
      <c r="AB62" s="69" t="s">
        <v>40</v>
      </c>
      <c r="AC62" s="69" t="s">
        <v>114</v>
      </c>
      <c r="AD62" s="69" t="s">
        <v>40</v>
      </c>
      <c r="AE62" s="69" t="s">
        <v>114</v>
      </c>
      <c r="AF62" s="9"/>
      <c r="AG62" s="9"/>
      <c r="AH62" s="4"/>
      <c r="AI62" s="4"/>
      <c r="AJ62" s="9"/>
      <c r="AK62" s="9"/>
      <c r="AL62" s="4"/>
      <c r="AM62" s="41"/>
      <c r="AN62" s="9"/>
      <c r="AO62" s="9"/>
      <c r="AP62" s="43"/>
      <c r="AQ62" s="43"/>
      <c r="AR62">
        <f t="shared" si="1"/>
        <v>6</v>
      </c>
    </row>
    <row r="63" spans="1:96" ht="14.25" customHeight="1" x14ac:dyDescent="0.25">
      <c r="A63">
        <v>90</v>
      </c>
      <c r="B63" t="s">
        <v>520</v>
      </c>
      <c r="C63" t="s">
        <v>521</v>
      </c>
      <c r="D63" t="s">
        <v>74</v>
      </c>
      <c r="E63" t="s">
        <v>75</v>
      </c>
      <c r="F63" s="48"/>
      <c r="G63" s="4"/>
      <c r="H63" s="9"/>
      <c r="I63" s="9"/>
      <c r="J63" s="4" t="s">
        <v>208</v>
      </c>
      <c r="K63" s="4" t="s">
        <v>114</v>
      </c>
      <c r="L63" s="9" t="s">
        <v>208</v>
      </c>
      <c r="M63" s="9" t="s">
        <v>114</v>
      </c>
      <c r="N63" s="4"/>
      <c r="O63" s="4"/>
      <c r="P63" s="52"/>
      <c r="Q63" s="52"/>
      <c r="R63" s="4"/>
      <c r="S63" s="4"/>
      <c r="T63" s="9"/>
      <c r="U63" s="9"/>
      <c r="V63" s="4"/>
      <c r="W63" s="4"/>
      <c r="X63" s="9"/>
      <c r="Y63" s="9"/>
      <c r="Z63" s="4"/>
      <c r="AA63" s="4"/>
      <c r="AB63" s="9"/>
      <c r="AC63" s="9"/>
      <c r="AD63" s="4"/>
      <c r="AE63" s="4"/>
      <c r="AF63" s="9"/>
      <c r="AG63" s="9"/>
      <c r="AH63" s="4" t="s">
        <v>205</v>
      </c>
      <c r="AI63" s="4" t="s">
        <v>114</v>
      </c>
      <c r="AJ63" s="9" t="s">
        <v>205</v>
      </c>
      <c r="AK63" s="9" t="s">
        <v>114</v>
      </c>
      <c r="AL63" s="4"/>
      <c r="AM63" s="41"/>
      <c r="AN63" s="9"/>
      <c r="AO63" s="9"/>
      <c r="AP63" s="43"/>
      <c r="AQ63" s="43"/>
      <c r="AR63">
        <f t="shared" si="1"/>
        <v>4</v>
      </c>
    </row>
    <row r="64" spans="1:96" x14ac:dyDescent="0.25">
      <c r="A64">
        <v>488</v>
      </c>
      <c r="B64" t="s">
        <v>522</v>
      </c>
      <c r="C64" t="s">
        <v>523</v>
      </c>
      <c r="D64" t="s">
        <v>111</v>
      </c>
      <c r="E64" t="s">
        <v>64</v>
      </c>
      <c r="F64" s="48"/>
      <c r="G64" s="4"/>
      <c r="H64" s="9"/>
      <c r="I64" s="9"/>
      <c r="J64" s="4" t="s">
        <v>208</v>
      </c>
      <c r="K64" s="4" t="s">
        <v>115</v>
      </c>
      <c r="L64" s="9" t="s">
        <v>208</v>
      </c>
      <c r="M64" s="9" t="s">
        <v>115</v>
      </c>
      <c r="N64" s="4"/>
      <c r="O64" s="4"/>
      <c r="P64" s="52"/>
      <c r="Q64" s="52"/>
      <c r="R64" s="4"/>
      <c r="S64" s="4"/>
      <c r="T64" s="9"/>
      <c r="U64" s="9"/>
      <c r="V64" s="4"/>
      <c r="W64" s="4"/>
      <c r="X64" s="9"/>
      <c r="Y64" s="9"/>
      <c r="Z64" s="4"/>
      <c r="AA64" s="4"/>
      <c r="AB64" s="9"/>
      <c r="AC64" s="9"/>
      <c r="AD64" s="4"/>
      <c r="AE64" s="4"/>
      <c r="AF64" s="9"/>
      <c r="AG64" s="9"/>
      <c r="AH64" s="4" t="s">
        <v>205</v>
      </c>
      <c r="AI64" s="4" t="s">
        <v>115</v>
      </c>
      <c r="AJ64" s="9" t="s">
        <v>205</v>
      </c>
      <c r="AK64" s="9" t="s">
        <v>115</v>
      </c>
      <c r="AL64" s="4"/>
      <c r="AM64" s="41"/>
      <c r="AN64" s="9"/>
      <c r="AO64" s="9"/>
      <c r="AP64" s="43"/>
      <c r="AQ64" s="43"/>
      <c r="AR64">
        <f t="shared" si="1"/>
        <v>4</v>
      </c>
    </row>
    <row r="65" spans="1:96" s="22" customFormat="1" x14ac:dyDescent="0.25">
      <c r="A65">
        <v>376</v>
      </c>
      <c r="B65" t="s">
        <v>524</v>
      </c>
      <c r="C65" t="s">
        <v>525</v>
      </c>
      <c r="D65" t="s">
        <v>179</v>
      </c>
      <c r="E65" t="s">
        <v>180</v>
      </c>
      <c r="F65" s="48"/>
      <c r="G65" s="4"/>
      <c r="H65" s="9"/>
      <c r="I65" s="9"/>
      <c r="J65" s="4"/>
      <c r="K65" s="4"/>
      <c r="L65" s="9"/>
      <c r="M65" s="9"/>
      <c r="N65" s="4" t="s">
        <v>280</v>
      </c>
      <c r="O65" s="4" t="s">
        <v>114</v>
      </c>
      <c r="P65" s="71" t="s">
        <v>41</v>
      </c>
      <c r="Q65" s="71" t="s">
        <v>114</v>
      </c>
      <c r="R65" s="4" t="s">
        <v>65</v>
      </c>
      <c r="S65" s="4" t="s">
        <v>114</v>
      </c>
      <c r="T65" s="9" t="s">
        <v>65</v>
      </c>
      <c r="U65" s="9" t="s">
        <v>114</v>
      </c>
      <c r="V65" s="4"/>
      <c r="W65" s="4"/>
      <c r="X65" s="9"/>
      <c r="Y65" s="9"/>
      <c r="Z65" s="4"/>
      <c r="AA65" s="4"/>
      <c r="AB65" s="9"/>
      <c r="AC65" s="9"/>
      <c r="AD65" s="75" t="s">
        <v>205</v>
      </c>
      <c r="AE65" s="75" t="s">
        <v>114</v>
      </c>
      <c r="AF65" s="9"/>
      <c r="AG65" s="9"/>
      <c r="AH65" s="4"/>
      <c r="AI65" s="4"/>
      <c r="AJ65" s="9"/>
      <c r="AK65" s="9"/>
      <c r="AL65" s="4"/>
      <c r="AM65" s="41"/>
      <c r="AN65" s="9"/>
      <c r="AO65" s="9"/>
      <c r="AP65" s="43"/>
      <c r="AQ65" s="43"/>
      <c r="AR65">
        <f t="shared" si="1"/>
        <v>5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1:96" x14ac:dyDescent="0.25">
      <c r="A66">
        <v>514</v>
      </c>
      <c r="B66" t="s">
        <v>526</v>
      </c>
      <c r="C66" t="s">
        <v>527</v>
      </c>
      <c r="D66" t="s">
        <v>111</v>
      </c>
      <c r="E66" t="s">
        <v>64</v>
      </c>
      <c r="F66" s="48" t="s">
        <v>208</v>
      </c>
      <c r="G66" s="4" t="s">
        <v>115</v>
      </c>
      <c r="H66" s="9" t="s">
        <v>208</v>
      </c>
      <c r="I66" s="9" t="s">
        <v>115</v>
      </c>
      <c r="J66" s="4"/>
      <c r="K66" s="4"/>
      <c r="L66" s="9"/>
      <c r="M66" s="9"/>
      <c r="N66" s="4"/>
      <c r="O66" s="4"/>
      <c r="P66" s="52"/>
      <c r="Q66" s="52"/>
      <c r="R66" s="4" t="s">
        <v>9</v>
      </c>
      <c r="S66" s="4" t="s">
        <v>114</v>
      </c>
      <c r="T66" s="9"/>
      <c r="U66" s="9"/>
      <c r="V66" s="4"/>
      <c r="W66" s="4"/>
      <c r="X66" s="9"/>
      <c r="Y66" s="9"/>
      <c r="Z66" s="4"/>
      <c r="AA66" s="4"/>
      <c r="AB66" s="9"/>
      <c r="AC66" s="9"/>
      <c r="AD66" s="4"/>
      <c r="AE66" s="4"/>
      <c r="AF66" s="9"/>
      <c r="AG66" s="9"/>
      <c r="AH66" s="4"/>
      <c r="AI66" s="4"/>
      <c r="AJ66" s="9" t="s">
        <v>194</v>
      </c>
      <c r="AK66" s="9" t="s">
        <v>114</v>
      </c>
      <c r="AL66" s="4"/>
      <c r="AM66" s="41"/>
      <c r="AN66" s="9"/>
      <c r="AO66" s="9"/>
      <c r="AP66" s="43"/>
      <c r="AQ66" s="43"/>
      <c r="AR66">
        <f t="shared" si="1"/>
        <v>4</v>
      </c>
    </row>
    <row r="67" spans="1:96" x14ac:dyDescent="0.25">
      <c r="A67">
        <v>454</v>
      </c>
      <c r="B67" t="s">
        <v>528</v>
      </c>
      <c r="C67" t="s">
        <v>529</v>
      </c>
      <c r="D67" t="s">
        <v>161</v>
      </c>
      <c r="E67" t="s">
        <v>162</v>
      </c>
      <c r="F67" s="48" t="s">
        <v>237</v>
      </c>
      <c r="G67" s="4" t="s">
        <v>114</v>
      </c>
      <c r="H67" s="9" t="s">
        <v>237</v>
      </c>
      <c r="I67" s="9" t="s">
        <v>114</v>
      </c>
      <c r="J67" s="4"/>
      <c r="K67" s="4"/>
      <c r="L67" s="9"/>
      <c r="M67" s="9"/>
      <c r="N67" s="4" t="s">
        <v>9</v>
      </c>
      <c r="O67" s="4" t="s">
        <v>114</v>
      </c>
      <c r="P67" s="52" t="s">
        <v>9</v>
      </c>
      <c r="Q67" s="52" t="s">
        <v>114</v>
      </c>
      <c r="R67" s="4"/>
      <c r="S67" s="4"/>
      <c r="T67" s="9"/>
      <c r="U67" s="9"/>
      <c r="V67" s="4"/>
      <c r="W67" s="4"/>
      <c r="X67" s="9"/>
      <c r="Y67" s="9"/>
      <c r="Z67" s="4"/>
      <c r="AA67" s="4"/>
      <c r="AB67" s="9"/>
      <c r="AC67" s="9"/>
      <c r="AD67" s="4"/>
      <c r="AE67" s="4"/>
      <c r="AF67" s="75"/>
      <c r="AG67" s="75"/>
      <c r="AH67" s="4"/>
      <c r="AI67" s="4"/>
      <c r="AJ67" s="9"/>
      <c r="AK67" s="9"/>
      <c r="AL67" s="4"/>
      <c r="AM67" s="41"/>
      <c r="AN67" s="9"/>
      <c r="AO67" s="9"/>
      <c r="AP67" s="43"/>
      <c r="AQ67" s="43"/>
      <c r="AR67">
        <f t="shared" ref="AR67:AR69" si="2">COUNTA(F67,H67,J67,L67,N67,P67,R67,T67,V67,X67,Z67,AB67,AD67,AF67,AH67,AJ67,AL67,AN67)</f>
        <v>4</v>
      </c>
    </row>
    <row r="68" spans="1:96" x14ac:dyDescent="0.25">
      <c r="A68">
        <v>64</v>
      </c>
      <c r="B68" t="s">
        <v>530</v>
      </c>
      <c r="C68" t="s">
        <v>531</v>
      </c>
      <c r="D68" t="s">
        <v>150</v>
      </c>
      <c r="E68" t="s">
        <v>151</v>
      </c>
      <c r="F68" s="48" t="s">
        <v>208</v>
      </c>
      <c r="G68" s="41" t="s">
        <v>114</v>
      </c>
      <c r="H68" s="9" t="s">
        <v>208</v>
      </c>
      <c r="I68" s="9" t="s">
        <v>114</v>
      </c>
      <c r="J68" s="4"/>
      <c r="K68" s="4"/>
      <c r="L68" s="9"/>
      <c r="M68" s="9"/>
      <c r="N68" s="4"/>
      <c r="O68" s="4"/>
      <c r="P68" s="52"/>
      <c r="Q68" s="52"/>
      <c r="R68" s="4"/>
      <c r="S68" s="4"/>
      <c r="T68" s="9" t="s">
        <v>264</v>
      </c>
      <c r="U68" s="9" t="s">
        <v>114</v>
      </c>
      <c r="V68" s="12"/>
      <c r="W68" s="12"/>
      <c r="X68" s="72" t="s">
        <v>65</v>
      </c>
      <c r="Y68" s="72" t="s">
        <v>114</v>
      </c>
      <c r="Z68" s="4"/>
      <c r="AA68" s="4"/>
      <c r="AB68" s="9"/>
      <c r="AC68" s="9"/>
      <c r="AD68" s="4"/>
      <c r="AE68" s="4"/>
      <c r="AF68" s="9"/>
      <c r="AG68" s="9"/>
      <c r="AH68" s="4"/>
      <c r="AI68" s="4"/>
      <c r="AJ68" s="9"/>
      <c r="AK68" s="9"/>
      <c r="AL68" s="4"/>
      <c r="AM68" s="41"/>
      <c r="AN68" s="9"/>
      <c r="AO68" s="9"/>
      <c r="AP68" s="43"/>
      <c r="AQ68" s="43"/>
      <c r="AR68">
        <f t="shared" si="2"/>
        <v>4</v>
      </c>
    </row>
    <row r="69" spans="1:96" x14ac:dyDescent="0.25">
      <c r="A69" s="41"/>
      <c r="B69" s="41"/>
      <c r="C69" s="41"/>
      <c r="D69" s="41" t="s">
        <v>161</v>
      </c>
      <c r="E69" s="41" t="s">
        <v>162</v>
      </c>
      <c r="F69" s="48"/>
      <c r="G69" s="41"/>
      <c r="H69" s="9"/>
      <c r="I69" s="9"/>
      <c r="J69" s="4"/>
      <c r="K69" s="4"/>
      <c r="L69" s="9"/>
      <c r="M69" s="9"/>
      <c r="N69" s="4"/>
      <c r="O69" s="4"/>
      <c r="P69" s="52"/>
      <c r="Q69" s="52"/>
      <c r="R69" s="4"/>
      <c r="S69" s="4"/>
      <c r="T69" s="9"/>
      <c r="U69" s="9"/>
      <c r="V69" s="4"/>
      <c r="W69" s="4"/>
      <c r="X69" s="66"/>
      <c r="Y69" s="66"/>
      <c r="Z69" s="4"/>
      <c r="AA69" s="4"/>
      <c r="AB69" s="9"/>
      <c r="AC69" s="9"/>
      <c r="AD69" s="75"/>
      <c r="AE69" s="75"/>
      <c r="AF69" s="75"/>
      <c r="AG69" s="75"/>
      <c r="AH69" s="75"/>
      <c r="AI69" s="75"/>
      <c r="AJ69" s="9"/>
      <c r="AK69" s="9"/>
      <c r="AL69" s="4"/>
      <c r="AM69" s="41"/>
      <c r="AN69" s="9"/>
      <c r="AO69" s="9"/>
      <c r="AP69" s="43"/>
      <c r="AQ69" s="43"/>
      <c r="AR69">
        <f t="shared" si="2"/>
        <v>0</v>
      </c>
    </row>
    <row r="70" spans="1:96" x14ac:dyDescent="0.25">
      <c r="A70" s="41"/>
      <c r="B70" s="41"/>
      <c r="C70" s="41"/>
      <c r="D70" s="41"/>
      <c r="E70" s="41"/>
      <c r="F70" s="41"/>
      <c r="G70" s="41"/>
      <c r="H70" s="9"/>
      <c r="I70" s="9"/>
      <c r="J70" s="4"/>
      <c r="K70" s="4"/>
      <c r="L70" s="9"/>
      <c r="M70" s="9"/>
      <c r="N70" s="4"/>
      <c r="O70" s="4"/>
      <c r="P70" s="52"/>
      <c r="Q70" s="52"/>
      <c r="R70" s="4"/>
      <c r="S70" s="4"/>
      <c r="T70" s="9"/>
      <c r="U70" s="9"/>
      <c r="V70" s="4"/>
      <c r="W70" s="4"/>
      <c r="X70" s="9"/>
      <c r="Y70" s="9"/>
      <c r="Z70" s="4"/>
      <c r="AA70" s="4"/>
      <c r="AB70" s="9"/>
      <c r="AC70" s="9"/>
      <c r="AD70" s="4"/>
      <c r="AE70" s="4"/>
      <c r="AF70" s="9"/>
      <c r="AG70" s="9"/>
      <c r="AH70" s="4"/>
      <c r="AI70" s="4"/>
      <c r="AJ70" s="9"/>
      <c r="AK70" s="9"/>
      <c r="AL70" s="4"/>
      <c r="AM70" s="41"/>
      <c r="AN70" s="9"/>
      <c r="AO70" s="9"/>
      <c r="AP70" s="43"/>
      <c r="AQ70" s="43"/>
    </row>
    <row r="71" spans="1:96" s="17" customFormat="1" x14ac:dyDescent="0.25">
      <c r="A71" s="41"/>
      <c r="B71" s="41"/>
      <c r="C71" s="41"/>
      <c r="D71" s="41"/>
      <c r="E71" s="41"/>
      <c r="F71" s="41"/>
      <c r="G71" s="41"/>
      <c r="H71" s="9"/>
      <c r="I71" s="9"/>
      <c r="J71" s="4"/>
      <c r="K71" s="4"/>
      <c r="L71" s="9"/>
      <c r="M71" s="9"/>
      <c r="N71" s="4"/>
      <c r="O71" s="4"/>
      <c r="P71" s="52"/>
      <c r="Q71" s="52"/>
      <c r="R71" s="4"/>
      <c r="S71" s="4"/>
      <c r="T71" s="9"/>
      <c r="U71" s="9"/>
      <c r="V71" s="4"/>
      <c r="W71" s="4"/>
      <c r="X71" s="9"/>
      <c r="Y71" s="9"/>
      <c r="Z71" s="4"/>
      <c r="AA71" s="4"/>
      <c r="AB71" s="20"/>
      <c r="AC71" s="9"/>
      <c r="AD71" s="4"/>
      <c r="AE71" s="4"/>
      <c r="AF71" s="9"/>
      <c r="AG71" s="9"/>
      <c r="AH71" s="4"/>
      <c r="AI71" s="4"/>
      <c r="AJ71" s="9"/>
      <c r="AK71" s="9"/>
      <c r="AL71" s="4"/>
      <c r="AM71" s="41"/>
      <c r="AN71" s="9"/>
      <c r="AO71" s="9"/>
      <c r="AP71" s="43"/>
      <c r="AQ71" s="43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1:96" x14ac:dyDescent="0.25">
      <c r="A72" s="41"/>
      <c r="B72" s="41"/>
      <c r="C72" s="41"/>
      <c r="D72" s="41"/>
      <c r="E72" s="41"/>
      <c r="F72" s="48"/>
      <c r="G72" s="4"/>
      <c r="H72" s="9"/>
      <c r="I72" s="9"/>
      <c r="J72" s="4"/>
      <c r="K72" s="4"/>
      <c r="L72" s="9"/>
      <c r="M72" s="9"/>
      <c r="N72" s="4"/>
      <c r="O72" s="4"/>
      <c r="P72" s="52"/>
      <c r="Q72" s="52"/>
      <c r="R72" s="4"/>
      <c r="S72" s="4"/>
      <c r="T72" s="9"/>
      <c r="U72" s="9"/>
      <c r="V72" s="4"/>
      <c r="W72" s="4"/>
      <c r="X72" s="9"/>
      <c r="Y72" s="9"/>
      <c r="Z72" s="4"/>
      <c r="AA72" s="4"/>
      <c r="AB72" s="9"/>
      <c r="AC72" s="9"/>
      <c r="AD72" s="4"/>
      <c r="AE72" s="4"/>
      <c r="AF72" s="9"/>
      <c r="AG72" s="9"/>
      <c r="AH72" s="4"/>
      <c r="AI72" s="4"/>
      <c r="AJ72" s="9"/>
      <c r="AK72" s="9"/>
      <c r="AL72" s="4"/>
      <c r="AM72" s="41"/>
      <c r="AN72" s="9"/>
      <c r="AO72" s="9"/>
      <c r="AP72" s="43"/>
      <c r="AQ72" s="43"/>
    </row>
    <row r="73" spans="1:96" x14ac:dyDescent="0.25">
      <c r="A73" s="41"/>
      <c r="B73" s="41"/>
      <c r="C73" s="41"/>
      <c r="D73" s="41"/>
      <c r="E73" s="41"/>
      <c r="F73" s="48"/>
      <c r="G73" s="4"/>
      <c r="H73" s="9"/>
      <c r="I73" s="9"/>
      <c r="J73" s="4"/>
      <c r="K73" s="4"/>
      <c r="L73" s="9"/>
      <c r="M73" s="9"/>
      <c r="N73" s="4"/>
      <c r="O73" s="4"/>
      <c r="P73" s="52"/>
      <c r="Q73" s="52"/>
      <c r="R73" s="4"/>
      <c r="S73" s="4"/>
      <c r="T73" s="9"/>
      <c r="U73" s="9"/>
      <c r="V73" s="4"/>
      <c r="W73" s="4"/>
      <c r="X73" s="9"/>
      <c r="Y73" s="9"/>
      <c r="Z73" s="4"/>
      <c r="AA73" s="4"/>
      <c r="AB73" s="9"/>
      <c r="AC73" s="9"/>
      <c r="AD73" s="4"/>
      <c r="AE73" s="4"/>
      <c r="AF73" s="9"/>
      <c r="AG73" s="9"/>
      <c r="AH73" s="4"/>
      <c r="AI73" s="4"/>
      <c r="AJ73" s="9"/>
      <c r="AK73" s="9"/>
      <c r="AL73" s="4"/>
      <c r="AM73" s="41"/>
      <c r="AN73" s="9"/>
      <c r="AO73" s="9"/>
      <c r="AP73" s="43"/>
      <c r="AQ73" s="43"/>
    </row>
    <row r="74" spans="1:96" x14ac:dyDescent="0.25">
      <c r="A74" s="41"/>
      <c r="B74" s="41"/>
      <c r="C74" s="41"/>
      <c r="D74" s="41"/>
      <c r="E74" s="41"/>
      <c r="F74" s="48"/>
      <c r="G74" s="4"/>
      <c r="H74" s="9"/>
      <c r="I74" s="9"/>
      <c r="J74" s="4"/>
      <c r="K74" s="4"/>
      <c r="L74" s="9"/>
      <c r="M74" s="9"/>
      <c r="N74" s="4"/>
      <c r="O74" s="4"/>
      <c r="P74" s="52"/>
      <c r="Q74" s="52"/>
      <c r="R74" s="4"/>
      <c r="S74" s="4"/>
      <c r="T74" s="9"/>
      <c r="U74" s="9"/>
      <c r="V74" s="4"/>
      <c r="W74" s="4"/>
      <c r="X74" s="9"/>
      <c r="Y74" s="9"/>
      <c r="Z74" s="4"/>
      <c r="AA74" s="4"/>
      <c r="AB74" s="9"/>
      <c r="AC74" s="9"/>
      <c r="AD74" s="4"/>
      <c r="AE74" s="4"/>
      <c r="AF74" s="9"/>
      <c r="AG74" s="9"/>
      <c r="AH74" s="4"/>
      <c r="AI74" s="4"/>
      <c r="AJ74" s="9"/>
      <c r="AK74" s="9"/>
      <c r="AL74" s="4"/>
      <c r="AM74" s="41"/>
      <c r="AN74" s="9"/>
      <c r="AO74" s="9"/>
      <c r="AP74" s="43"/>
      <c r="AQ74" s="43"/>
    </row>
    <row r="75" spans="1:96" x14ac:dyDescent="0.25">
      <c r="A75" s="41"/>
      <c r="B75" s="41"/>
      <c r="C75" s="41"/>
      <c r="D75" s="41"/>
      <c r="E75" s="41"/>
      <c r="F75" s="48"/>
      <c r="G75" s="4"/>
      <c r="H75" s="9"/>
      <c r="I75" s="9"/>
      <c r="J75" s="4"/>
      <c r="K75" s="4"/>
      <c r="L75" s="9"/>
      <c r="M75" s="9"/>
      <c r="N75" s="4"/>
      <c r="O75" s="4"/>
      <c r="P75" s="52"/>
      <c r="Q75" s="52"/>
      <c r="R75" s="4"/>
      <c r="S75" s="4"/>
      <c r="T75" s="9"/>
      <c r="U75" s="9"/>
      <c r="V75" s="4"/>
      <c r="W75" s="4"/>
      <c r="X75" s="9"/>
      <c r="Y75" s="9"/>
      <c r="Z75" s="4"/>
      <c r="AA75" s="4"/>
      <c r="AB75" s="9"/>
      <c r="AC75" s="9"/>
      <c r="AD75" s="4"/>
      <c r="AE75" s="4"/>
      <c r="AF75" s="9"/>
      <c r="AG75" s="9"/>
      <c r="AH75" s="4"/>
      <c r="AI75" s="4"/>
      <c r="AJ75" s="9"/>
      <c r="AK75" s="9"/>
      <c r="AL75" s="4"/>
      <c r="AM75" s="41"/>
      <c r="AN75" s="9"/>
      <c r="AO75" s="9"/>
      <c r="AP75" s="43"/>
      <c r="AQ75" s="43"/>
    </row>
    <row r="76" spans="1:96" x14ac:dyDescent="0.25">
      <c r="A76" s="41"/>
      <c r="B76" s="41"/>
      <c r="C76" s="41"/>
      <c r="D76" s="41"/>
      <c r="E76" s="41"/>
      <c r="F76" s="48"/>
      <c r="G76" s="4"/>
      <c r="H76" s="9"/>
      <c r="I76" s="9"/>
      <c r="J76" s="4"/>
      <c r="K76" s="4"/>
      <c r="L76" s="9"/>
      <c r="M76" s="9"/>
      <c r="N76" s="4"/>
      <c r="O76" s="4"/>
      <c r="P76" s="52"/>
      <c r="Q76" s="52"/>
      <c r="R76" s="4"/>
      <c r="S76" s="4"/>
      <c r="T76" s="9"/>
      <c r="U76" s="9"/>
      <c r="V76" s="4"/>
      <c r="W76" s="4"/>
      <c r="X76" s="9"/>
      <c r="Y76" s="9"/>
      <c r="Z76" s="4"/>
      <c r="AA76" s="4"/>
      <c r="AB76" s="9"/>
      <c r="AC76" s="9"/>
      <c r="AD76" s="4"/>
      <c r="AE76" s="4"/>
      <c r="AF76" s="9"/>
      <c r="AG76" s="9"/>
      <c r="AH76" s="4"/>
      <c r="AI76" s="4"/>
      <c r="AJ76" s="9"/>
      <c r="AK76" s="9"/>
      <c r="AL76" s="4"/>
      <c r="AM76" s="41"/>
      <c r="AN76" s="9"/>
      <c r="AO76" s="9"/>
      <c r="AP76" s="43"/>
      <c r="AQ76" s="43"/>
    </row>
    <row r="77" spans="1:96" x14ac:dyDescent="0.25">
      <c r="A77" s="41"/>
      <c r="B77" s="41"/>
      <c r="C77" s="41"/>
      <c r="D77" s="41"/>
      <c r="E77" s="41"/>
      <c r="F77" s="48"/>
      <c r="G77" s="4"/>
      <c r="H77" s="9"/>
      <c r="I77" s="9"/>
      <c r="J77" s="4"/>
      <c r="K77" s="4"/>
      <c r="L77" s="9"/>
      <c r="M77" s="9"/>
      <c r="N77" s="4"/>
      <c r="O77" s="4"/>
      <c r="P77" s="52"/>
      <c r="Q77" s="52"/>
      <c r="R77" s="4"/>
      <c r="S77" s="4"/>
      <c r="T77" s="9"/>
      <c r="U77" s="9"/>
      <c r="V77" s="4"/>
      <c r="W77" s="4"/>
      <c r="X77" s="9"/>
      <c r="Y77" s="9"/>
      <c r="Z77" s="4"/>
      <c r="AA77" s="4"/>
      <c r="AB77" s="9"/>
      <c r="AC77" s="9"/>
      <c r="AD77" s="4"/>
      <c r="AE77" s="4"/>
      <c r="AF77" s="9"/>
      <c r="AG77" s="9"/>
      <c r="AH77" s="4"/>
      <c r="AI77" s="4"/>
      <c r="AJ77" s="9"/>
      <c r="AK77" s="9"/>
      <c r="AL77" s="4"/>
      <c r="AM77" s="41"/>
      <c r="AN77" s="9"/>
      <c r="AO77" s="9"/>
      <c r="AP77" s="43"/>
      <c r="AQ77" s="43"/>
    </row>
    <row r="78" spans="1:96" x14ac:dyDescent="0.25">
      <c r="A78" s="41"/>
      <c r="B78" s="41"/>
      <c r="C78" s="41"/>
      <c r="D78" s="41"/>
      <c r="E78" s="41"/>
      <c r="F78" s="48"/>
      <c r="G78" s="4"/>
      <c r="H78" s="9"/>
      <c r="I78" s="9"/>
      <c r="J78" s="4"/>
      <c r="K78" s="4"/>
      <c r="L78" s="9"/>
      <c r="M78" s="9"/>
      <c r="N78" s="4"/>
      <c r="O78" s="4"/>
      <c r="P78" s="52"/>
      <c r="Q78" s="52"/>
      <c r="R78" s="4"/>
      <c r="S78" s="4"/>
      <c r="T78" s="9"/>
      <c r="U78" s="9"/>
      <c r="V78" s="4"/>
      <c r="W78" s="4"/>
      <c r="X78" s="9"/>
      <c r="Y78" s="9"/>
      <c r="Z78" s="4"/>
      <c r="AA78" s="4"/>
      <c r="AB78" s="9"/>
      <c r="AC78" s="9"/>
      <c r="AD78" s="4"/>
      <c r="AE78" s="4"/>
      <c r="AF78" s="9"/>
      <c r="AG78" s="9"/>
      <c r="AH78" s="4"/>
      <c r="AI78" s="4"/>
      <c r="AJ78" s="9"/>
      <c r="AK78" s="9"/>
      <c r="AL78" s="4"/>
      <c r="AM78" s="41"/>
      <c r="AN78" s="9"/>
      <c r="AO78" s="9"/>
      <c r="AP78" s="43"/>
      <c r="AQ78" s="43"/>
    </row>
    <row r="79" spans="1:96" x14ac:dyDescent="0.25">
      <c r="A79" s="41"/>
      <c r="B79" s="41"/>
      <c r="C79" s="41"/>
      <c r="D79" s="41"/>
      <c r="E79" s="41"/>
      <c r="F79" s="48"/>
      <c r="G79" s="4"/>
      <c r="H79" s="9"/>
      <c r="I79" s="9"/>
      <c r="J79" s="4"/>
      <c r="K79" s="4"/>
      <c r="L79" s="9"/>
      <c r="M79" s="9"/>
      <c r="N79" s="4"/>
      <c r="O79" s="4"/>
      <c r="P79" s="52"/>
      <c r="Q79" s="52"/>
      <c r="R79" s="4"/>
      <c r="S79" s="4"/>
      <c r="T79" s="9"/>
      <c r="U79" s="9"/>
      <c r="V79" s="4"/>
      <c r="W79" s="4"/>
      <c r="X79" s="9"/>
      <c r="Y79" s="9"/>
      <c r="Z79" s="4"/>
      <c r="AA79" s="4"/>
      <c r="AB79" s="9"/>
      <c r="AC79" s="9"/>
      <c r="AD79" s="4"/>
      <c r="AE79" s="4"/>
      <c r="AF79" s="9"/>
      <c r="AG79" s="9"/>
      <c r="AH79" s="4"/>
      <c r="AI79" s="4"/>
      <c r="AJ79" s="9"/>
      <c r="AK79" s="9"/>
      <c r="AL79" s="4"/>
      <c r="AM79" s="41"/>
      <c r="AN79" s="9"/>
      <c r="AO79" s="9"/>
      <c r="AP79" s="43"/>
      <c r="AQ79" s="43"/>
    </row>
    <row r="80" spans="1:96" x14ac:dyDescent="0.25">
      <c r="AB80" s="53"/>
      <c r="AC80" s="53"/>
    </row>
  </sheetData>
  <mergeCells count="19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R1:AS1"/>
    <mergeCell ref="AD1:AE1"/>
    <mergeCell ref="AF1:AG1"/>
    <mergeCell ref="AH1:AI1"/>
    <mergeCell ref="AJ1:AK1"/>
    <mergeCell ref="AN1:AO1"/>
    <mergeCell ref="AL1:AM1"/>
  </mergeCells>
  <conditionalFormatting sqref="AR1:AR1048576">
    <cfRule type="cellIs" dxfId="21" priority="5" operator="lessThanOrEqual">
      <formula>3</formula>
    </cfRule>
    <cfRule type="cellIs" dxfId="20" priority="12" operator="lessThan">
      <formula>4</formula>
    </cfRule>
  </conditionalFormatting>
  <conditionalFormatting sqref="AR2">
    <cfRule type="cellIs" dxfId="19" priority="11" operator="equal">
      <formula>6</formula>
    </cfRule>
  </conditionalFormatting>
  <conditionalFormatting sqref="AR3:AR69">
    <cfRule type="cellIs" dxfId="18" priority="1" operator="equal">
      <formula>5</formula>
    </cfRule>
    <cfRule type="cellIs" dxfId="17" priority="4" operator="greaterThanOrEqual">
      <formula>6</formula>
    </cfRule>
  </conditionalFormatting>
  <conditionalFormatting sqref="AR4:AR69">
    <cfRule type="cellIs" dxfId="16" priority="2" operator="equal">
      <formula>3</formula>
    </cfRule>
    <cfRule type="cellIs" dxfId="15" priority="3" operator="equal">
      <formula>3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Etablissements!$F$1:$F$41</xm:f>
          </x14:formula1>
          <xm:sqref>T79</xm:sqref>
        </x14:dataValidation>
        <x14:dataValidation type="list" allowBlank="1" showInputMessage="1" showErrorMessage="1" xr:uid="{78D69ACB-C7C0-0A45-92DD-E26345DF01C2}">
          <x14:formula1>
            <xm:f>Etablissements!$F$1:$F$43</xm:f>
          </x14:formula1>
          <xm:sqref>AN3:AN79 AL3:AL79 F71:F79 F3:F69 AJ3:AJ79 AH3:AH79 AF3:AF79 AD3:AD79 AB3:AB80 Z3:Z79 X3:X79 V3:V79 T3:T78 R3:R79 P3:P79 N3:N79 L3:L79 J3:J79 H3:H79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CY82"/>
  <sheetViews>
    <sheetView zoomScale="170" zoomScaleNormal="170" workbookViewId="0">
      <pane xSplit="5" ySplit="2" topLeftCell="F54" activePane="bottomRight" state="frozenSplit"/>
      <selection activeCell="I3" sqref="A3:I4"/>
      <selection pane="topRight" activeCell="F1" sqref="F1"/>
      <selection pane="bottomLeft" activeCell="A16" sqref="A16"/>
      <selection pane="bottomRight" activeCell="A73" sqref="A73:W73"/>
    </sheetView>
  </sheetViews>
  <sheetFormatPr baseColWidth="10" defaultRowHeight="15" x14ac:dyDescent="0.25"/>
  <cols>
    <col min="1" max="1" width="6" customWidth="1"/>
    <col min="2" max="2" width="14.28515625" customWidth="1"/>
    <col min="3" max="3" width="18.28515625" customWidth="1"/>
    <col min="4" max="4" width="24.7109375" hidden="1" customWidth="1"/>
    <col min="5" max="5" width="32.85546875" hidden="1" customWidth="1"/>
    <col min="6" max="10" width="6.42578125" customWidth="1"/>
    <col min="11" max="41" width="6.28515625" customWidth="1"/>
    <col min="42" max="42" width="4.28515625" customWidth="1"/>
  </cols>
  <sheetData>
    <row r="1" spans="1:103" x14ac:dyDescent="0.25">
      <c r="F1" s="90" t="s">
        <v>187</v>
      </c>
      <c r="G1" s="91"/>
      <c r="H1" s="92" t="s">
        <v>124</v>
      </c>
      <c r="I1" s="91"/>
      <c r="J1" s="90" t="s">
        <v>46</v>
      </c>
      <c r="K1" s="91"/>
      <c r="L1" s="92" t="s">
        <v>47</v>
      </c>
      <c r="M1" s="91"/>
      <c r="N1" s="93" t="s">
        <v>188</v>
      </c>
      <c r="O1" s="94"/>
      <c r="P1" s="88" t="s">
        <v>189</v>
      </c>
      <c r="Q1" s="89"/>
      <c r="R1" s="88" t="s">
        <v>218</v>
      </c>
      <c r="S1" s="89"/>
      <c r="T1" s="88" t="s">
        <v>50</v>
      </c>
      <c r="U1" s="89"/>
      <c r="V1" s="88" t="s">
        <v>51</v>
      </c>
      <c r="W1" s="89"/>
      <c r="X1" s="93" t="s">
        <v>137</v>
      </c>
      <c r="Y1" s="94"/>
      <c r="Z1" s="88" t="s">
        <v>132</v>
      </c>
      <c r="AA1" s="89"/>
      <c r="AB1" s="88" t="s">
        <v>125</v>
      </c>
      <c r="AC1" s="89"/>
      <c r="AD1" s="88" t="s">
        <v>54</v>
      </c>
      <c r="AE1" s="89"/>
      <c r="AF1" s="88" t="s">
        <v>55</v>
      </c>
      <c r="AG1" s="89"/>
      <c r="AH1" s="93" t="s">
        <v>138</v>
      </c>
      <c r="AI1" s="94"/>
      <c r="AJ1" s="88" t="s">
        <v>133</v>
      </c>
      <c r="AK1" s="89"/>
      <c r="AL1" s="92"/>
      <c r="AM1" s="91"/>
      <c r="AN1" s="92"/>
      <c r="AO1" s="91"/>
    </row>
    <row r="2" spans="1:103" x14ac:dyDescent="0.25">
      <c r="A2" s="35" t="s">
        <v>0</v>
      </c>
      <c r="B2" s="35" t="s">
        <v>134</v>
      </c>
      <c r="C2" s="35" t="s">
        <v>135</v>
      </c>
      <c r="D2" s="35" t="s">
        <v>136</v>
      </c>
      <c r="E2" s="35" t="s">
        <v>3</v>
      </c>
      <c r="F2" s="8" t="s">
        <v>66</v>
      </c>
      <c r="G2" s="8" t="s">
        <v>67</v>
      </c>
      <c r="H2" s="20" t="s">
        <v>66</v>
      </c>
      <c r="I2" s="20" t="s">
        <v>67</v>
      </c>
      <c r="J2" s="8" t="s">
        <v>66</v>
      </c>
      <c r="K2" s="8" t="s">
        <v>67</v>
      </c>
      <c r="L2" s="20" t="s">
        <v>66</v>
      </c>
      <c r="M2" s="20" t="s">
        <v>67</v>
      </c>
      <c r="N2" s="8" t="s">
        <v>66</v>
      </c>
      <c r="O2" s="8" t="s">
        <v>67</v>
      </c>
      <c r="P2" s="20" t="s">
        <v>66</v>
      </c>
      <c r="Q2" s="20" t="s">
        <v>67</v>
      </c>
      <c r="R2" s="8" t="s">
        <v>66</v>
      </c>
      <c r="S2" s="8" t="s">
        <v>67</v>
      </c>
      <c r="T2" s="20" t="s">
        <v>66</v>
      </c>
      <c r="U2" s="20" t="s">
        <v>67</v>
      </c>
      <c r="V2" s="8" t="s">
        <v>66</v>
      </c>
      <c r="W2" s="8" t="s">
        <v>67</v>
      </c>
      <c r="X2" s="20" t="s">
        <v>66</v>
      </c>
      <c r="Y2" s="20" t="s">
        <v>67</v>
      </c>
      <c r="Z2" s="8" t="s">
        <v>66</v>
      </c>
      <c r="AA2" s="8" t="s">
        <v>67</v>
      </c>
      <c r="AB2" s="20" t="s">
        <v>66</v>
      </c>
      <c r="AC2" s="20" t="s">
        <v>67</v>
      </c>
      <c r="AD2" s="40" t="s">
        <v>66</v>
      </c>
      <c r="AE2" s="40" t="s">
        <v>67</v>
      </c>
      <c r="AF2" s="39" t="s">
        <v>66</v>
      </c>
      <c r="AG2" s="39" t="s">
        <v>67</v>
      </c>
      <c r="AH2" s="40" t="s">
        <v>66</v>
      </c>
      <c r="AI2" s="40" t="s">
        <v>67</v>
      </c>
      <c r="AJ2" s="40" t="s">
        <v>66</v>
      </c>
      <c r="AK2" s="40" t="s">
        <v>67</v>
      </c>
      <c r="AL2" s="40" t="s">
        <v>66</v>
      </c>
      <c r="AM2" s="40" t="s">
        <v>67</v>
      </c>
      <c r="AN2" s="40" t="s">
        <v>66</v>
      </c>
      <c r="AO2" s="40" t="s">
        <v>67</v>
      </c>
    </row>
    <row r="3" spans="1:103" s="22" customFormat="1" ht="15.75" customHeight="1" x14ac:dyDescent="0.25">
      <c r="A3">
        <v>27</v>
      </c>
      <c r="B3" t="s">
        <v>284</v>
      </c>
      <c r="C3" t="s">
        <v>285</v>
      </c>
      <c r="D3" t="s">
        <v>153</v>
      </c>
      <c r="E3" t="s">
        <v>154</v>
      </c>
      <c r="F3" s="4" t="s">
        <v>42</v>
      </c>
      <c r="G3" s="4" t="s">
        <v>114</v>
      </c>
      <c r="H3" s="9" t="s">
        <v>42</v>
      </c>
      <c r="I3" s="9" t="s">
        <v>114</v>
      </c>
      <c r="J3" s="4" t="s">
        <v>128</v>
      </c>
      <c r="K3" s="4" t="s">
        <v>114</v>
      </c>
      <c r="L3" s="9" t="s">
        <v>128</v>
      </c>
      <c r="M3" s="9" t="s">
        <v>114</v>
      </c>
      <c r="N3" s="4"/>
      <c r="O3" s="4"/>
      <c r="P3" s="60"/>
      <c r="Q3" s="60"/>
      <c r="R3" s="12"/>
      <c r="S3" s="12"/>
      <c r="T3" s="9"/>
      <c r="U3" s="9"/>
      <c r="V3" s="4"/>
      <c r="W3" s="4"/>
      <c r="X3" s="9"/>
      <c r="Y3" s="9"/>
      <c r="Z3" s="4"/>
      <c r="AA3" s="4"/>
      <c r="AB3" s="9"/>
      <c r="AC3" s="9"/>
      <c r="AD3" s="41"/>
      <c r="AE3" s="41"/>
      <c r="AF3" s="43"/>
      <c r="AG3" s="43"/>
      <c r="AH3" s="77" t="s">
        <v>145</v>
      </c>
      <c r="AI3" s="77" t="s">
        <v>114</v>
      </c>
      <c r="AJ3" s="43"/>
      <c r="AK3" s="43"/>
      <c r="AL3" s="41"/>
      <c r="AM3" s="41"/>
      <c r="AN3" s="43"/>
      <c r="AO3" s="43"/>
      <c r="AP3" s="22">
        <f>COUNTA(F3,H3,J3,L3,N3,P3,R3,T3,V3,X3,Z3,AB3,AD3,AF3,AH3,AJ3,AL3,AN3)</f>
        <v>5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</row>
    <row r="4" spans="1:103" s="22" customFormat="1" ht="15.75" customHeight="1" x14ac:dyDescent="0.25">
      <c r="A4">
        <v>388</v>
      </c>
      <c r="B4" t="s">
        <v>286</v>
      </c>
      <c r="C4" t="s">
        <v>287</v>
      </c>
      <c r="D4" t="s">
        <v>150</v>
      </c>
      <c r="E4" t="s">
        <v>151</v>
      </c>
      <c r="F4" s="4" t="s">
        <v>41</v>
      </c>
      <c r="G4" s="4" t="s">
        <v>114</v>
      </c>
      <c r="H4" s="9" t="s">
        <v>41</v>
      </c>
      <c r="I4" s="9" t="s">
        <v>114</v>
      </c>
      <c r="J4" s="4"/>
      <c r="K4" s="4"/>
      <c r="L4" s="9" t="s">
        <v>234</v>
      </c>
      <c r="M4" s="9" t="s">
        <v>114</v>
      </c>
      <c r="N4" s="4" t="s">
        <v>234</v>
      </c>
      <c r="O4" s="4" t="s">
        <v>114</v>
      </c>
      <c r="P4" s="52"/>
      <c r="Q4" s="52"/>
      <c r="R4" s="4"/>
      <c r="S4" s="4"/>
      <c r="T4" s="9"/>
      <c r="U4" s="9"/>
      <c r="V4" s="4"/>
      <c r="W4" s="4"/>
      <c r="X4" s="9"/>
      <c r="Y4" s="9"/>
      <c r="Z4" s="4"/>
      <c r="AA4" s="4"/>
      <c r="AB4" s="9"/>
      <c r="AC4" s="9"/>
      <c r="AD4" s="41"/>
      <c r="AE4" s="41"/>
      <c r="AF4" s="43"/>
      <c r="AG4" s="43"/>
      <c r="AH4" s="41"/>
      <c r="AI4" s="41"/>
      <c r="AJ4" s="43"/>
      <c r="AK4" s="43"/>
      <c r="AL4" s="41"/>
      <c r="AM4" s="41"/>
      <c r="AN4" s="43"/>
      <c r="AO4" s="43"/>
      <c r="AP4" s="22">
        <f t="shared" ref="AP4:AP64" si="0">COUNTA(F4,H4,J4,L4,N4,P4,R4,T4,V4,X4,Z4,AB4,AD4,AF4,AH4,AJ4,AL4,AN4)</f>
        <v>4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s="22" customFormat="1" ht="15.75" customHeight="1" x14ac:dyDescent="0.25">
      <c r="A5">
        <v>310</v>
      </c>
      <c r="B5" t="s">
        <v>288</v>
      </c>
      <c r="C5" t="s">
        <v>289</v>
      </c>
      <c r="D5" t="s">
        <v>179</v>
      </c>
      <c r="E5" t="s">
        <v>180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60"/>
      <c r="Q5" s="60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59"/>
      <c r="AE5" s="59"/>
      <c r="AF5" s="59"/>
      <c r="AG5" s="59"/>
      <c r="AH5" s="59"/>
      <c r="AI5" s="59"/>
      <c r="AJ5" s="59"/>
      <c r="AK5" s="59"/>
      <c r="AL5" s="41"/>
      <c r="AM5" s="41"/>
      <c r="AN5" s="43"/>
      <c r="AO5" s="43"/>
      <c r="AP5" s="22">
        <f t="shared" si="0"/>
        <v>0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ht="15.75" customHeight="1" x14ac:dyDescent="0.25">
      <c r="A6">
        <v>78</v>
      </c>
      <c r="B6" t="s">
        <v>290</v>
      </c>
      <c r="C6" t="s">
        <v>291</v>
      </c>
      <c r="D6" t="s">
        <v>177</v>
      </c>
      <c r="E6" t="s">
        <v>178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60"/>
      <c r="Q6" s="60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59"/>
      <c r="AE6" s="59"/>
      <c r="AF6" s="59"/>
      <c r="AG6" s="59"/>
      <c r="AH6" s="59"/>
      <c r="AI6" s="59"/>
      <c r="AJ6" s="59"/>
      <c r="AK6" s="59"/>
      <c r="AL6" s="41"/>
      <c r="AM6" s="41"/>
      <c r="AN6" s="43"/>
      <c r="AO6" s="43"/>
      <c r="AP6" s="22">
        <f t="shared" si="0"/>
        <v>0</v>
      </c>
    </row>
    <row r="7" spans="1:103" ht="15.75" customHeight="1" x14ac:dyDescent="0.25">
      <c r="A7">
        <v>500</v>
      </c>
      <c r="B7" t="s">
        <v>292</v>
      </c>
      <c r="C7" t="s">
        <v>293</v>
      </c>
      <c r="D7" t="s">
        <v>150</v>
      </c>
      <c r="E7" t="s">
        <v>151</v>
      </c>
      <c r="F7" s="4" t="s">
        <v>128</v>
      </c>
      <c r="G7" s="4" t="s">
        <v>115</v>
      </c>
      <c r="H7" s="9" t="s">
        <v>128</v>
      </c>
      <c r="I7" s="9" t="s">
        <v>115</v>
      </c>
      <c r="J7" s="4"/>
      <c r="K7" s="4"/>
      <c r="L7" s="9"/>
      <c r="M7" s="9"/>
      <c r="N7" s="4"/>
      <c r="O7" s="4"/>
      <c r="P7" s="52"/>
      <c r="Q7" s="52"/>
      <c r="R7" s="4" t="s">
        <v>10</v>
      </c>
      <c r="S7" s="4" t="s">
        <v>114</v>
      </c>
      <c r="T7" s="9" t="s">
        <v>10</v>
      </c>
      <c r="U7" s="9" t="s">
        <v>114</v>
      </c>
      <c r="V7" s="4"/>
      <c r="W7" s="4"/>
      <c r="X7" s="9"/>
      <c r="Y7" s="9"/>
      <c r="Z7" s="4"/>
      <c r="AA7" s="4"/>
      <c r="AB7" s="9"/>
      <c r="AC7" s="9"/>
      <c r="AD7" s="41"/>
      <c r="AE7" s="41"/>
      <c r="AF7" s="43"/>
      <c r="AG7" s="43"/>
      <c r="AH7" s="41"/>
      <c r="AI7" s="41"/>
      <c r="AJ7" s="43"/>
      <c r="AK7" s="43"/>
      <c r="AL7" s="41"/>
      <c r="AM7" s="41"/>
      <c r="AN7" s="43"/>
      <c r="AO7" s="43"/>
      <c r="AP7" s="22">
        <f t="shared" si="0"/>
        <v>4</v>
      </c>
    </row>
    <row r="8" spans="1:103" s="22" customFormat="1" ht="15.75" customHeight="1" x14ac:dyDescent="0.25">
      <c r="A8">
        <v>25</v>
      </c>
      <c r="B8" t="s">
        <v>294</v>
      </c>
      <c r="C8" t="s">
        <v>295</v>
      </c>
      <c r="D8" t="s">
        <v>171</v>
      </c>
      <c r="E8" t="s">
        <v>172</v>
      </c>
      <c r="F8" s="4"/>
      <c r="G8" s="4"/>
      <c r="H8" s="9"/>
      <c r="I8" s="9"/>
      <c r="J8" s="4"/>
      <c r="K8" s="4"/>
      <c r="L8" s="9"/>
      <c r="M8" s="9"/>
      <c r="N8" s="4"/>
      <c r="O8" s="4"/>
      <c r="P8" s="52" t="s">
        <v>24</v>
      </c>
      <c r="Q8" s="52" t="s">
        <v>115</v>
      </c>
      <c r="R8" s="4" t="s">
        <v>24</v>
      </c>
      <c r="S8" s="4" t="s">
        <v>115</v>
      </c>
      <c r="T8" s="9"/>
      <c r="U8" s="9"/>
      <c r="V8" s="4"/>
      <c r="W8" s="4"/>
      <c r="X8" s="9" t="s">
        <v>65</v>
      </c>
      <c r="Y8" s="9" t="s">
        <v>114</v>
      </c>
      <c r="Z8" s="4"/>
      <c r="AA8" s="4"/>
      <c r="AB8" s="9"/>
      <c r="AC8" s="9"/>
      <c r="AD8" s="41"/>
      <c r="AE8" s="41"/>
      <c r="AF8" s="43"/>
      <c r="AG8" s="43"/>
      <c r="AH8" s="41" t="s">
        <v>65</v>
      </c>
      <c r="AI8" s="41" t="s">
        <v>114</v>
      </c>
      <c r="AJ8" s="43" t="s">
        <v>65</v>
      </c>
      <c r="AK8" s="43" t="s">
        <v>114</v>
      </c>
      <c r="AL8" s="41"/>
      <c r="AM8" s="41"/>
      <c r="AN8" s="43"/>
      <c r="AO8" s="43"/>
      <c r="AP8" s="22">
        <f t="shared" si="0"/>
        <v>5</v>
      </c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ht="15.75" customHeight="1" x14ac:dyDescent="0.25">
      <c r="A9">
        <v>54</v>
      </c>
      <c r="B9" t="s">
        <v>296</v>
      </c>
      <c r="C9" t="s">
        <v>297</v>
      </c>
      <c r="D9" t="s">
        <v>111</v>
      </c>
      <c r="E9" t="s">
        <v>64</v>
      </c>
      <c r="F9" s="4"/>
      <c r="G9" s="4"/>
      <c r="H9" s="9"/>
      <c r="I9" s="9"/>
      <c r="J9" s="4"/>
      <c r="K9" s="4"/>
      <c r="L9" s="9"/>
      <c r="M9" s="9"/>
      <c r="N9" s="4"/>
      <c r="O9" s="4"/>
      <c r="P9" s="52"/>
      <c r="Q9" s="52"/>
      <c r="R9" s="4" t="s">
        <v>63</v>
      </c>
      <c r="S9" s="4" t="s">
        <v>114</v>
      </c>
      <c r="T9" s="9" t="s">
        <v>63</v>
      </c>
      <c r="U9" s="9" t="s">
        <v>114</v>
      </c>
      <c r="V9" s="4"/>
      <c r="W9" s="4"/>
      <c r="X9" s="9"/>
      <c r="Y9" s="9"/>
      <c r="Z9" s="4" t="s">
        <v>63</v>
      </c>
      <c r="AA9" s="4" t="s">
        <v>114</v>
      </c>
      <c r="AB9" s="9" t="s">
        <v>63</v>
      </c>
      <c r="AC9" s="9" t="s">
        <v>114</v>
      </c>
      <c r="AD9" s="41"/>
      <c r="AE9" s="41"/>
      <c r="AF9" s="43"/>
      <c r="AG9" s="43"/>
      <c r="AH9" s="41" t="s">
        <v>63</v>
      </c>
      <c r="AI9" s="41" t="s">
        <v>114</v>
      </c>
      <c r="AJ9" s="43"/>
      <c r="AK9" s="43"/>
      <c r="AL9" s="41"/>
      <c r="AM9" s="41"/>
      <c r="AN9" s="43"/>
      <c r="AO9" s="43"/>
      <c r="AP9" s="22">
        <f t="shared" si="0"/>
        <v>5</v>
      </c>
    </row>
    <row r="10" spans="1:103" ht="15.75" customHeight="1" x14ac:dyDescent="0.25">
      <c r="A10">
        <v>6</v>
      </c>
      <c r="B10" t="s">
        <v>298</v>
      </c>
      <c r="C10" t="s">
        <v>299</v>
      </c>
      <c r="D10" t="s">
        <v>177</v>
      </c>
      <c r="E10" t="s">
        <v>178</v>
      </c>
      <c r="F10" s="4" t="s">
        <v>41</v>
      </c>
      <c r="G10" s="4" t="s">
        <v>115</v>
      </c>
      <c r="H10" s="9" t="s">
        <v>41</v>
      </c>
      <c r="I10" s="9" t="s">
        <v>115</v>
      </c>
      <c r="J10" s="4"/>
      <c r="K10" s="4"/>
      <c r="L10" s="9"/>
      <c r="M10" s="9"/>
      <c r="N10" s="4"/>
      <c r="O10" s="4"/>
      <c r="P10" s="52"/>
      <c r="Q10" s="52"/>
      <c r="R10" s="4"/>
      <c r="S10" s="4"/>
      <c r="T10" s="9"/>
      <c r="U10" s="9"/>
      <c r="V10" s="4"/>
      <c r="W10" s="4"/>
      <c r="X10" s="9"/>
      <c r="Y10" s="9"/>
      <c r="Z10" s="4"/>
      <c r="AA10" s="4"/>
      <c r="AB10" s="9" t="s">
        <v>40</v>
      </c>
      <c r="AC10" s="9" t="s">
        <v>114</v>
      </c>
      <c r="AD10" s="41" t="s">
        <v>40</v>
      </c>
      <c r="AE10" s="41" t="s">
        <v>114</v>
      </c>
      <c r="AF10" s="43"/>
      <c r="AG10" s="43"/>
      <c r="AH10" s="41"/>
      <c r="AI10" s="41"/>
      <c r="AJ10" s="43"/>
      <c r="AK10" s="43"/>
      <c r="AL10" s="41"/>
      <c r="AM10" s="41"/>
      <c r="AN10" s="43"/>
      <c r="AO10" s="43"/>
      <c r="AP10" s="22">
        <f t="shared" si="0"/>
        <v>4</v>
      </c>
    </row>
    <row r="11" spans="1:103" ht="15.75" customHeight="1" x14ac:dyDescent="0.25">
      <c r="A11">
        <v>423</v>
      </c>
      <c r="B11" t="s">
        <v>300</v>
      </c>
      <c r="C11" t="s">
        <v>301</v>
      </c>
      <c r="D11" t="s">
        <v>171</v>
      </c>
      <c r="E11" t="s">
        <v>172</v>
      </c>
      <c r="F11" s="4"/>
      <c r="G11" s="4"/>
      <c r="H11" s="9"/>
      <c r="I11" s="9"/>
      <c r="J11" s="4"/>
      <c r="K11" s="4"/>
      <c r="L11" s="9" t="s">
        <v>41</v>
      </c>
      <c r="M11" s="9" t="s">
        <v>114</v>
      </c>
      <c r="N11" s="4"/>
      <c r="O11" s="4"/>
      <c r="P11" s="52" t="s">
        <v>234</v>
      </c>
      <c r="Q11" s="52" t="s">
        <v>114</v>
      </c>
      <c r="R11" s="4" t="s">
        <v>234</v>
      </c>
      <c r="S11" s="4" t="s">
        <v>114</v>
      </c>
      <c r="T11" s="9"/>
      <c r="U11" s="9"/>
      <c r="V11" s="4"/>
      <c r="W11" s="4"/>
      <c r="X11" s="9"/>
      <c r="Y11" s="9"/>
      <c r="Z11" s="4"/>
      <c r="AA11" s="4"/>
      <c r="AB11" s="9" t="s">
        <v>40</v>
      </c>
      <c r="AC11" s="9" t="s">
        <v>115</v>
      </c>
      <c r="AD11" s="41" t="s">
        <v>40</v>
      </c>
      <c r="AE11" s="41" t="s">
        <v>115</v>
      </c>
      <c r="AF11" s="43"/>
      <c r="AG11" s="43"/>
      <c r="AH11" s="41"/>
      <c r="AI11" s="41"/>
      <c r="AJ11" s="43"/>
      <c r="AK11" s="43"/>
      <c r="AL11" s="41"/>
      <c r="AM11" s="41"/>
      <c r="AN11" s="43"/>
      <c r="AO11" s="43"/>
      <c r="AP11" s="22">
        <f t="shared" si="0"/>
        <v>5</v>
      </c>
    </row>
    <row r="12" spans="1:103" ht="15.75" customHeight="1" x14ac:dyDescent="0.25">
      <c r="A12">
        <v>2</v>
      </c>
      <c r="B12" t="s">
        <v>302</v>
      </c>
      <c r="C12" t="s">
        <v>303</v>
      </c>
      <c r="D12" t="s">
        <v>87</v>
      </c>
      <c r="E12" t="s">
        <v>88</v>
      </c>
      <c r="F12" s="4" t="s">
        <v>128</v>
      </c>
      <c r="G12" s="4" t="s">
        <v>116</v>
      </c>
      <c r="H12" s="9" t="s">
        <v>128</v>
      </c>
      <c r="I12" s="9" t="s">
        <v>116</v>
      </c>
      <c r="J12" s="4" t="s">
        <v>41</v>
      </c>
      <c r="K12" s="4" t="s">
        <v>115</v>
      </c>
      <c r="L12" s="9" t="s">
        <v>41</v>
      </c>
      <c r="M12" s="9" t="s">
        <v>115</v>
      </c>
      <c r="N12" s="12"/>
      <c r="O12" s="12"/>
      <c r="P12" s="52"/>
      <c r="Q12" s="52"/>
      <c r="R12" s="4"/>
      <c r="S12" s="4"/>
      <c r="T12" s="9"/>
      <c r="U12" s="9"/>
      <c r="V12" s="4"/>
      <c r="W12" s="4"/>
      <c r="X12" s="12"/>
      <c r="Y12" s="12"/>
      <c r="Z12" s="4"/>
      <c r="AA12" s="4"/>
      <c r="AB12" s="9"/>
      <c r="AC12" s="9"/>
      <c r="AD12" s="41"/>
      <c r="AE12" s="41"/>
      <c r="AF12" s="43"/>
      <c r="AG12" s="43"/>
      <c r="AH12" s="59"/>
      <c r="AI12" s="59"/>
      <c r="AJ12" s="77" t="s">
        <v>145</v>
      </c>
      <c r="AK12" s="77" t="s">
        <v>114</v>
      </c>
      <c r="AL12" s="41"/>
      <c r="AM12" s="41"/>
      <c r="AN12" s="43"/>
      <c r="AO12" s="43"/>
      <c r="AP12" s="22">
        <f t="shared" si="0"/>
        <v>5</v>
      </c>
    </row>
    <row r="13" spans="1:103" ht="15.75" customHeight="1" x14ac:dyDescent="0.25">
      <c r="A13">
        <v>546</v>
      </c>
      <c r="B13" t="s">
        <v>304</v>
      </c>
      <c r="C13" t="s">
        <v>305</v>
      </c>
      <c r="D13" t="s">
        <v>150</v>
      </c>
      <c r="E13" t="s">
        <v>151</v>
      </c>
      <c r="F13" s="4"/>
      <c r="G13" s="4"/>
      <c r="H13" s="9"/>
      <c r="I13" s="9"/>
      <c r="J13" s="4" t="s">
        <v>128</v>
      </c>
      <c r="K13" s="4" t="s">
        <v>115</v>
      </c>
      <c r="L13" s="9" t="s">
        <v>128</v>
      </c>
      <c r="M13" s="9" t="s">
        <v>115</v>
      </c>
      <c r="N13" s="4"/>
      <c r="O13" s="4"/>
      <c r="P13" s="52"/>
      <c r="Q13" s="52"/>
      <c r="R13" s="4" t="s">
        <v>10</v>
      </c>
      <c r="S13" s="4" t="s">
        <v>115</v>
      </c>
      <c r="T13" s="9" t="s">
        <v>10</v>
      </c>
      <c r="U13" s="9" t="s">
        <v>115</v>
      </c>
      <c r="V13" s="4"/>
      <c r="W13" s="4"/>
      <c r="X13" s="9"/>
      <c r="Y13" s="9"/>
      <c r="Z13" s="4"/>
      <c r="AA13" s="4"/>
      <c r="AB13" s="9"/>
      <c r="AC13" s="9"/>
      <c r="AD13" s="41"/>
      <c r="AE13" s="41"/>
      <c r="AF13" s="43"/>
      <c r="AG13" s="43"/>
      <c r="AH13" s="41"/>
      <c r="AI13" s="41"/>
      <c r="AJ13" s="43"/>
      <c r="AK13" s="43"/>
      <c r="AL13" s="41"/>
      <c r="AM13" s="41"/>
      <c r="AN13" s="43"/>
      <c r="AO13" s="43"/>
      <c r="AP13" s="22">
        <f t="shared" si="0"/>
        <v>4</v>
      </c>
    </row>
    <row r="14" spans="1:103" ht="15.75" customHeight="1" x14ac:dyDescent="0.25">
      <c r="A14">
        <v>232</v>
      </c>
      <c r="B14" t="s">
        <v>306</v>
      </c>
      <c r="C14" t="s">
        <v>307</v>
      </c>
      <c r="D14" t="s">
        <v>166</v>
      </c>
      <c r="E14" t="s">
        <v>167</v>
      </c>
      <c r="F14" s="4"/>
      <c r="G14" s="4"/>
      <c r="H14" s="9"/>
      <c r="I14" s="9"/>
      <c r="J14" s="4" t="s">
        <v>128</v>
      </c>
      <c r="K14" s="4" t="s">
        <v>116</v>
      </c>
      <c r="L14" s="9" t="s">
        <v>128</v>
      </c>
      <c r="M14" s="9" t="s">
        <v>116</v>
      </c>
      <c r="N14" s="4"/>
      <c r="O14" s="4"/>
      <c r="P14" s="52"/>
      <c r="Q14" s="52"/>
      <c r="R14" s="4"/>
      <c r="S14" s="4"/>
      <c r="T14" s="9"/>
      <c r="U14" s="9"/>
      <c r="V14" s="4"/>
      <c r="W14" s="4"/>
      <c r="X14" s="9"/>
      <c r="Y14" s="9"/>
      <c r="Z14" s="4"/>
      <c r="AA14" s="4"/>
      <c r="AB14" s="9"/>
      <c r="AC14" s="9"/>
      <c r="AD14" s="41"/>
      <c r="AE14" s="41"/>
      <c r="AF14" s="68" t="s">
        <v>14</v>
      </c>
      <c r="AG14" s="68" t="s">
        <v>115</v>
      </c>
      <c r="AH14" s="68" t="s">
        <v>14</v>
      </c>
      <c r="AI14" s="68" t="s">
        <v>115</v>
      </c>
      <c r="AJ14" s="61"/>
      <c r="AK14" s="61"/>
      <c r="AL14" s="41"/>
      <c r="AM14" s="41"/>
      <c r="AN14" s="43"/>
      <c r="AO14" s="43"/>
      <c r="AP14" s="22">
        <f t="shared" si="0"/>
        <v>4</v>
      </c>
    </row>
    <row r="15" spans="1:103" ht="15.75" customHeight="1" x14ac:dyDescent="0.25">
      <c r="A15">
        <v>509</v>
      </c>
      <c r="B15" t="s">
        <v>308</v>
      </c>
      <c r="C15" t="s">
        <v>309</v>
      </c>
      <c r="D15" t="s">
        <v>168</v>
      </c>
      <c r="E15" t="s">
        <v>244</v>
      </c>
      <c r="F15" s="4"/>
      <c r="G15" s="4"/>
      <c r="H15" s="9"/>
      <c r="I15" s="9"/>
      <c r="J15" s="4"/>
      <c r="K15" s="4"/>
      <c r="L15" s="9"/>
      <c r="M15" s="9"/>
      <c r="N15" s="4" t="s">
        <v>41</v>
      </c>
      <c r="O15" s="4" t="s">
        <v>114</v>
      </c>
      <c r="P15" s="52" t="s">
        <v>41</v>
      </c>
      <c r="Q15" s="52" t="s">
        <v>114</v>
      </c>
      <c r="R15" s="4"/>
      <c r="S15" s="4"/>
      <c r="T15" s="9" t="s">
        <v>234</v>
      </c>
      <c r="U15" s="9" t="s">
        <v>114</v>
      </c>
      <c r="V15" s="4"/>
      <c r="W15" s="4"/>
      <c r="X15" s="9"/>
      <c r="Y15" s="9"/>
      <c r="Z15" s="4"/>
      <c r="AA15" s="4"/>
      <c r="AB15" s="9"/>
      <c r="AC15" s="9"/>
      <c r="AD15" s="41"/>
      <c r="AE15" s="41"/>
      <c r="AF15" s="43"/>
      <c r="AG15" s="43"/>
      <c r="AH15" s="41"/>
      <c r="AI15" s="41"/>
      <c r="AJ15" s="43" t="s">
        <v>214</v>
      </c>
      <c r="AK15" s="43" t="s">
        <v>114</v>
      </c>
      <c r="AL15" s="41"/>
      <c r="AM15" s="41"/>
      <c r="AN15" s="43"/>
      <c r="AO15" s="43"/>
      <c r="AP15" s="22">
        <f t="shared" si="0"/>
        <v>4</v>
      </c>
    </row>
    <row r="16" spans="1:103" ht="15.75" customHeight="1" x14ac:dyDescent="0.25">
      <c r="A16">
        <v>554</v>
      </c>
      <c r="B16" t="s">
        <v>310</v>
      </c>
      <c r="C16" t="s">
        <v>311</v>
      </c>
      <c r="D16" t="s">
        <v>161</v>
      </c>
      <c r="E16" t="s">
        <v>162</v>
      </c>
      <c r="F16" s="4"/>
      <c r="G16" s="4"/>
      <c r="H16" s="9"/>
      <c r="I16" s="9"/>
      <c r="J16" s="4"/>
      <c r="K16" s="4"/>
      <c r="L16" s="9"/>
      <c r="M16" s="9"/>
      <c r="N16" s="4" t="s">
        <v>41</v>
      </c>
      <c r="O16" s="4" t="s">
        <v>115</v>
      </c>
      <c r="P16" s="52" t="s">
        <v>41</v>
      </c>
      <c r="Q16" s="52" t="s">
        <v>115</v>
      </c>
      <c r="R16" s="4"/>
      <c r="S16" s="4"/>
      <c r="T16" s="9"/>
      <c r="U16" s="9"/>
      <c r="V16" s="4"/>
      <c r="W16" s="4"/>
      <c r="X16" s="9"/>
      <c r="Y16" s="9"/>
      <c r="Z16" s="72" t="s">
        <v>41</v>
      </c>
      <c r="AA16" s="72" t="s">
        <v>115</v>
      </c>
      <c r="AB16" s="72" t="s">
        <v>41</v>
      </c>
      <c r="AC16" s="72" t="s">
        <v>115</v>
      </c>
      <c r="AD16" s="41"/>
      <c r="AE16" s="41"/>
      <c r="AF16" s="43" t="s">
        <v>40</v>
      </c>
      <c r="AG16" s="43" t="s">
        <v>114</v>
      </c>
      <c r="AH16" s="41" t="s">
        <v>40</v>
      </c>
      <c r="AI16" s="41" t="s">
        <v>114</v>
      </c>
      <c r="AJ16" s="43"/>
      <c r="AK16" s="43"/>
      <c r="AL16" s="41"/>
      <c r="AM16" s="41"/>
      <c r="AN16" s="43"/>
      <c r="AO16" s="43"/>
      <c r="AP16" s="22">
        <f t="shared" si="0"/>
        <v>6</v>
      </c>
    </row>
    <row r="17" spans="1:103" ht="15.75" customHeight="1" x14ac:dyDescent="0.25">
      <c r="A17">
        <v>379</v>
      </c>
      <c r="B17" t="s">
        <v>312</v>
      </c>
      <c r="C17" t="s">
        <v>313</v>
      </c>
      <c r="D17" t="s">
        <v>153</v>
      </c>
      <c r="E17" t="s">
        <v>154</v>
      </c>
      <c r="F17" s="4"/>
      <c r="G17" s="4"/>
      <c r="H17" s="9"/>
      <c r="I17" s="9"/>
      <c r="J17" s="4"/>
      <c r="K17" s="4"/>
      <c r="L17" s="9"/>
      <c r="M17" s="9"/>
      <c r="N17" s="4"/>
      <c r="O17" s="4"/>
      <c r="P17" s="52" t="s">
        <v>24</v>
      </c>
      <c r="Q17" s="52" t="s">
        <v>114</v>
      </c>
      <c r="R17" s="4" t="s">
        <v>24</v>
      </c>
      <c r="S17" s="4" t="s">
        <v>114</v>
      </c>
      <c r="T17" s="9"/>
      <c r="U17" s="9"/>
      <c r="V17" s="4"/>
      <c r="W17" s="4"/>
      <c r="X17" s="9"/>
      <c r="Y17" s="9"/>
      <c r="Z17" s="4"/>
      <c r="AA17" s="4"/>
      <c r="AB17" s="9"/>
      <c r="AC17" s="9"/>
      <c r="AD17" s="68" t="s">
        <v>14</v>
      </c>
      <c r="AE17" s="68" t="s">
        <v>115</v>
      </c>
      <c r="AF17" s="68" t="s">
        <v>221</v>
      </c>
      <c r="AG17" s="68" t="s">
        <v>114</v>
      </c>
      <c r="AH17" s="41"/>
      <c r="AI17" s="41"/>
      <c r="AJ17" s="43"/>
      <c r="AK17" s="43"/>
      <c r="AL17" s="41"/>
      <c r="AM17" s="41"/>
      <c r="AN17" s="43"/>
      <c r="AO17" s="43"/>
      <c r="AP17" s="22">
        <f t="shared" si="0"/>
        <v>4</v>
      </c>
    </row>
    <row r="18" spans="1:103" ht="15.75" customHeight="1" x14ac:dyDescent="0.25">
      <c r="A18">
        <v>129</v>
      </c>
      <c r="B18" t="s">
        <v>314</v>
      </c>
      <c r="C18" t="s">
        <v>315</v>
      </c>
      <c r="D18" t="s">
        <v>173</v>
      </c>
      <c r="E18" t="s">
        <v>174</v>
      </c>
      <c r="F18" s="4"/>
      <c r="G18" s="4"/>
      <c r="H18" s="9"/>
      <c r="I18" s="9"/>
      <c r="J18" s="4"/>
      <c r="K18" s="4"/>
      <c r="L18" s="9"/>
      <c r="M18" s="9"/>
      <c r="N18" s="4" t="s">
        <v>128</v>
      </c>
      <c r="O18" s="4" t="s">
        <v>114</v>
      </c>
      <c r="P18" s="52" t="s">
        <v>128</v>
      </c>
      <c r="Q18" s="52" t="s">
        <v>114</v>
      </c>
      <c r="R18" s="4"/>
      <c r="S18" s="4"/>
      <c r="T18" s="9"/>
      <c r="U18" s="9"/>
      <c r="V18" s="4" t="s">
        <v>10</v>
      </c>
      <c r="W18" s="4" t="s">
        <v>114</v>
      </c>
      <c r="X18" s="9" t="s">
        <v>10</v>
      </c>
      <c r="Y18" s="9" t="s">
        <v>114</v>
      </c>
      <c r="Z18" s="4"/>
      <c r="AA18" s="4"/>
      <c r="AB18" s="9"/>
      <c r="AC18" s="9"/>
      <c r="AD18" s="41"/>
      <c r="AE18" s="41"/>
      <c r="AF18" s="43"/>
      <c r="AG18" s="43"/>
      <c r="AH18" s="41"/>
      <c r="AI18" s="41"/>
      <c r="AJ18" s="43"/>
      <c r="AK18" s="43"/>
      <c r="AL18" s="41"/>
      <c r="AM18" s="41"/>
      <c r="AN18" s="43"/>
      <c r="AO18" s="43"/>
      <c r="AP18" s="22">
        <f t="shared" si="0"/>
        <v>4</v>
      </c>
    </row>
    <row r="19" spans="1:103" ht="15.75" customHeight="1" x14ac:dyDescent="0.25">
      <c r="A19">
        <v>53</v>
      </c>
      <c r="B19" t="s">
        <v>316</v>
      </c>
      <c r="C19" t="s">
        <v>317</v>
      </c>
      <c r="D19" t="s">
        <v>159</v>
      </c>
      <c r="E19" t="s">
        <v>160</v>
      </c>
      <c r="F19" s="4"/>
      <c r="G19" s="4"/>
      <c r="H19" s="9"/>
      <c r="I19" s="9"/>
      <c r="J19" s="4"/>
      <c r="K19" s="4"/>
      <c r="L19" s="9"/>
      <c r="M19" s="9"/>
      <c r="N19" s="4" t="s">
        <v>63</v>
      </c>
      <c r="O19" s="4" t="s">
        <v>114</v>
      </c>
      <c r="P19" s="52" t="s">
        <v>63</v>
      </c>
      <c r="Q19" s="52" t="s">
        <v>114</v>
      </c>
      <c r="R19" s="4"/>
      <c r="S19" s="4"/>
      <c r="T19" s="9"/>
      <c r="U19" s="9"/>
      <c r="V19" s="10" t="s">
        <v>63</v>
      </c>
      <c r="W19" s="10" t="s">
        <v>114</v>
      </c>
      <c r="X19" s="12"/>
      <c r="Y19" s="12"/>
      <c r="Z19" s="4"/>
      <c r="AA19" s="4"/>
      <c r="AB19" s="9"/>
      <c r="AC19" s="9"/>
      <c r="AD19" s="41" t="s">
        <v>63</v>
      </c>
      <c r="AE19" s="41" t="s">
        <v>114</v>
      </c>
      <c r="AF19" s="43"/>
      <c r="AG19" s="43"/>
      <c r="AH19" s="41"/>
      <c r="AI19" s="41"/>
      <c r="AJ19" s="43"/>
      <c r="AK19" s="43"/>
      <c r="AL19" s="41"/>
      <c r="AM19" s="41"/>
      <c r="AN19" s="43"/>
      <c r="AO19" s="43"/>
      <c r="AP19" s="22">
        <f t="shared" si="0"/>
        <v>4</v>
      </c>
    </row>
    <row r="20" spans="1:103" ht="15.75" customHeight="1" x14ac:dyDescent="0.25">
      <c r="A20">
        <v>536</v>
      </c>
      <c r="B20" t="s">
        <v>318</v>
      </c>
      <c r="C20" t="s">
        <v>319</v>
      </c>
      <c r="D20" t="s">
        <v>175</v>
      </c>
      <c r="E20" t="s">
        <v>176</v>
      </c>
      <c r="F20" s="69" t="s">
        <v>22</v>
      </c>
      <c r="G20" s="69" t="s">
        <v>114</v>
      </c>
      <c r="H20" s="69" t="s">
        <v>22</v>
      </c>
      <c r="I20" s="69" t="s">
        <v>114</v>
      </c>
      <c r="J20" s="4" t="s">
        <v>22</v>
      </c>
      <c r="K20" s="4" t="s">
        <v>114</v>
      </c>
      <c r="L20" s="66"/>
      <c r="M20" s="66"/>
      <c r="N20" s="4"/>
      <c r="O20" s="4"/>
      <c r="P20" s="52"/>
      <c r="Q20" s="52"/>
      <c r="R20" s="63"/>
      <c r="S20" s="63"/>
      <c r="T20" s="63"/>
      <c r="U20" s="63"/>
      <c r="V20" s="4"/>
      <c r="W20" s="4"/>
      <c r="X20" s="9"/>
      <c r="Y20" s="9"/>
      <c r="Z20" s="4"/>
      <c r="AA20" s="4"/>
      <c r="AB20" s="9"/>
      <c r="AC20" s="9"/>
      <c r="AD20" s="41"/>
      <c r="AE20" s="41"/>
      <c r="AF20" s="43"/>
      <c r="AG20" s="43"/>
      <c r="AH20" s="41"/>
      <c r="AI20" s="41"/>
      <c r="AJ20" s="43"/>
      <c r="AK20" s="43"/>
      <c r="AL20" s="41"/>
      <c r="AM20" s="41"/>
      <c r="AN20" s="43"/>
      <c r="AO20" s="43"/>
      <c r="AP20" s="22">
        <f t="shared" si="0"/>
        <v>3</v>
      </c>
    </row>
    <row r="21" spans="1:103" s="22" customFormat="1" ht="15.75" customHeight="1" x14ac:dyDescent="0.25">
      <c r="A21">
        <v>553</v>
      </c>
      <c r="B21" t="s">
        <v>320</v>
      </c>
      <c r="C21" t="s">
        <v>152</v>
      </c>
      <c r="D21" t="s">
        <v>74</v>
      </c>
      <c r="E21" t="s">
        <v>75</v>
      </c>
      <c r="F21" s="4"/>
      <c r="G21" s="4"/>
      <c r="H21" s="9"/>
      <c r="I21" s="9"/>
      <c r="J21" s="4"/>
      <c r="K21" s="4"/>
      <c r="L21" s="9"/>
      <c r="M21" s="9"/>
      <c r="N21" s="4"/>
      <c r="O21" s="4"/>
      <c r="P21" s="52"/>
      <c r="Q21" s="52"/>
      <c r="R21" s="4" t="s">
        <v>41</v>
      </c>
      <c r="S21" s="4" t="s">
        <v>114</v>
      </c>
      <c r="T21" s="9" t="s">
        <v>41</v>
      </c>
      <c r="U21" s="9" t="s">
        <v>114</v>
      </c>
      <c r="V21" s="4"/>
      <c r="W21" s="4"/>
      <c r="X21" s="9"/>
      <c r="Y21" s="9"/>
      <c r="Z21" s="4"/>
      <c r="AA21" s="4"/>
      <c r="AB21" s="9"/>
      <c r="AC21" s="9"/>
      <c r="AD21" s="41"/>
      <c r="AE21" s="41"/>
      <c r="AF21" s="43" t="s">
        <v>40</v>
      </c>
      <c r="AG21" s="43" t="s">
        <v>115</v>
      </c>
      <c r="AH21" s="41" t="s">
        <v>40</v>
      </c>
      <c r="AI21" s="41" t="s">
        <v>115</v>
      </c>
      <c r="AJ21" s="43"/>
      <c r="AK21" s="43"/>
      <c r="AL21" s="41"/>
      <c r="AM21" s="41"/>
      <c r="AN21" s="43"/>
      <c r="AO21" s="43"/>
      <c r="AP21" s="22">
        <f t="shared" si="0"/>
        <v>4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</row>
    <row r="22" spans="1:103" ht="15.75" customHeight="1" x14ac:dyDescent="0.25">
      <c r="A22">
        <v>20</v>
      </c>
      <c r="B22" t="s">
        <v>321</v>
      </c>
      <c r="C22" t="s">
        <v>322</v>
      </c>
      <c r="D22" t="s">
        <v>157</v>
      </c>
      <c r="E22" t="s">
        <v>158</v>
      </c>
      <c r="F22" s="4"/>
      <c r="G22" s="4"/>
      <c r="H22" s="9"/>
      <c r="I22" s="9"/>
      <c r="J22" s="4"/>
      <c r="K22" s="4"/>
      <c r="L22" s="9"/>
      <c r="M22" s="9"/>
      <c r="N22" s="4" t="s">
        <v>226</v>
      </c>
      <c r="O22" s="4" t="s">
        <v>114</v>
      </c>
      <c r="P22" s="52" t="s">
        <v>226</v>
      </c>
      <c r="Q22" s="52" t="s">
        <v>114</v>
      </c>
      <c r="R22" s="4" t="s">
        <v>128</v>
      </c>
      <c r="S22" s="4" t="s">
        <v>115</v>
      </c>
      <c r="T22" s="9" t="s">
        <v>128</v>
      </c>
      <c r="U22" s="9" t="s">
        <v>115</v>
      </c>
      <c r="V22" s="4"/>
      <c r="W22" s="4"/>
      <c r="X22" s="9"/>
      <c r="Y22" s="9"/>
      <c r="Z22" s="4"/>
      <c r="AA22" s="4"/>
      <c r="AB22" s="9"/>
      <c r="AC22" s="9"/>
      <c r="AD22" s="41"/>
      <c r="AE22" s="41"/>
      <c r="AF22" s="43"/>
      <c r="AG22" s="43"/>
      <c r="AH22" s="41"/>
      <c r="AI22" s="41"/>
      <c r="AJ22" s="43"/>
      <c r="AK22" s="43"/>
      <c r="AL22" s="41"/>
      <c r="AM22" s="41"/>
      <c r="AN22" s="43"/>
      <c r="AO22" s="43"/>
      <c r="AP22" s="22">
        <f t="shared" si="0"/>
        <v>4</v>
      </c>
    </row>
    <row r="23" spans="1:103" ht="15.75" customHeight="1" x14ac:dyDescent="0.25">
      <c r="A23">
        <v>495</v>
      </c>
      <c r="B23" t="s">
        <v>323</v>
      </c>
      <c r="C23" t="s">
        <v>324</v>
      </c>
      <c r="D23" t="s">
        <v>111</v>
      </c>
      <c r="E23" t="s">
        <v>64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60"/>
      <c r="Q23" s="60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59"/>
      <c r="AE23" s="59"/>
      <c r="AF23" s="59"/>
      <c r="AG23" s="59"/>
      <c r="AH23" s="59"/>
      <c r="AI23" s="59"/>
      <c r="AJ23" s="59"/>
      <c r="AK23" s="59"/>
      <c r="AL23" s="41"/>
      <c r="AM23" s="41"/>
      <c r="AN23" s="43"/>
      <c r="AO23" s="43"/>
      <c r="AP23" s="22">
        <f t="shared" si="0"/>
        <v>0</v>
      </c>
    </row>
    <row r="24" spans="1:103" s="14" customFormat="1" ht="15.75" customHeight="1" x14ac:dyDescent="0.25">
      <c r="A24">
        <v>318</v>
      </c>
      <c r="B24" t="s">
        <v>325</v>
      </c>
      <c r="C24" t="s">
        <v>326</v>
      </c>
      <c r="D24" t="s">
        <v>179</v>
      </c>
      <c r="E24" t="s">
        <v>180</v>
      </c>
      <c r="F24" s="4"/>
      <c r="G24" s="4"/>
      <c r="H24" s="9"/>
      <c r="I24" s="9"/>
      <c r="J24" s="4" t="s">
        <v>41</v>
      </c>
      <c r="K24" s="4" t="s">
        <v>114</v>
      </c>
      <c r="L24" s="9"/>
      <c r="M24" s="9"/>
      <c r="N24" s="4"/>
      <c r="O24" s="4"/>
      <c r="P24" s="52"/>
      <c r="Q24" s="52"/>
      <c r="R24" s="4"/>
      <c r="S24" s="4"/>
      <c r="T24" s="9"/>
      <c r="U24" s="9"/>
      <c r="V24" s="4" t="s">
        <v>128</v>
      </c>
      <c r="W24" s="4" t="s">
        <v>114</v>
      </c>
      <c r="X24" s="9" t="s">
        <v>128</v>
      </c>
      <c r="Y24" s="9" t="s">
        <v>114</v>
      </c>
      <c r="Z24" s="4"/>
      <c r="AA24" s="4"/>
      <c r="AB24" s="9" t="s">
        <v>143</v>
      </c>
      <c r="AC24" s="9" t="s">
        <v>114</v>
      </c>
      <c r="AD24" s="41"/>
      <c r="AE24" s="41"/>
      <c r="AF24" s="43"/>
      <c r="AG24" s="43"/>
      <c r="AH24" s="41"/>
      <c r="AI24" s="41"/>
      <c r="AJ24" s="43"/>
      <c r="AK24" s="43"/>
      <c r="AL24" s="41"/>
      <c r="AM24" s="41"/>
      <c r="AN24" s="43"/>
      <c r="AO24" s="43"/>
      <c r="AP24" s="22">
        <f t="shared" si="0"/>
        <v>4</v>
      </c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</row>
    <row r="25" spans="1:103" ht="15.75" customHeight="1" x14ac:dyDescent="0.25">
      <c r="A25">
        <v>47</v>
      </c>
      <c r="B25" t="s">
        <v>327</v>
      </c>
      <c r="C25" t="s">
        <v>328</v>
      </c>
      <c r="D25" t="s">
        <v>179</v>
      </c>
      <c r="E25" t="s">
        <v>180</v>
      </c>
      <c r="F25" s="4"/>
      <c r="G25" s="4"/>
      <c r="H25" s="9"/>
      <c r="I25" s="9"/>
      <c r="J25" s="4" t="s">
        <v>148</v>
      </c>
      <c r="K25" s="4" t="s">
        <v>114</v>
      </c>
      <c r="L25" s="9" t="s">
        <v>148</v>
      </c>
      <c r="M25" s="9" t="s">
        <v>114</v>
      </c>
      <c r="N25" s="4"/>
      <c r="O25" s="4"/>
      <c r="P25" s="52"/>
      <c r="Q25" s="52"/>
      <c r="R25" s="4"/>
      <c r="S25" s="4"/>
      <c r="T25" s="9"/>
      <c r="U25" s="9"/>
      <c r="V25" s="4" t="s">
        <v>128</v>
      </c>
      <c r="W25" s="4" t="s">
        <v>115</v>
      </c>
      <c r="X25" s="9" t="s">
        <v>128</v>
      </c>
      <c r="Y25" s="9" t="s">
        <v>115</v>
      </c>
      <c r="Z25" s="4"/>
      <c r="AA25" s="4"/>
      <c r="AB25" s="9"/>
      <c r="AC25" s="9"/>
      <c r="AD25" s="41"/>
      <c r="AE25" s="41"/>
      <c r="AF25" s="43"/>
      <c r="AG25" s="43"/>
      <c r="AH25" s="41"/>
      <c r="AI25" s="41"/>
      <c r="AJ25" s="43"/>
      <c r="AK25" s="43"/>
      <c r="AL25" s="41"/>
      <c r="AM25" s="41"/>
      <c r="AN25" s="43"/>
      <c r="AO25" s="43"/>
      <c r="AP25" s="22">
        <f t="shared" si="0"/>
        <v>4</v>
      </c>
    </row>
    <row r="26" spans="1:103" ht="15.75" customHeight="1" x14ac:dyDescent="0.25">
      <c r="A26">
        <v>399</v>
      </c>
      <c r="B26" t="s">
        <v>329</v>
      </c>
      <c r="C26" t="s">
        <v>330</v>
      </c>
      <c r="D26" t="s">
        <v>163</v>
      </c>
      <c r="E26" t="s">
        <v>164</v>
      </c>
      <c r="F26" s="4"/>
      <c r="G26" s="4"/>
      <c r="H26" s="9"/>
      <c r="I26" s="9"/>
      <c r="J26" s="4"/>
      <c r="K26" s="4"/>
      <c r="L26" s="9"/>
      <c r="M26" s="9"/>
      <c r="N26" s="4"/>
      <c r="O26" s="4"/>
      <c r="P26" s="52"/>
      <c r="Q26" s="52"/>
      <c r="R26" s="4"/>
      <c r="S26" s="4"/>
      <c r="T26" s="9"/>
      <c r="U26" s="9"/>
      <c r="V26" s="4" t="s">
        <v>10</v>
      </c>
      <c r="W26" s="4" t="s">
        <v>115</v>
      </c>
      <c r="X26" s="9"/>
      <c r="Y26" s="9"/>
      <c r="Z26" s="4" t="s">
        <v>128</v>
      </c>
      <c r="AA26" s="4" t="s">
        <v>114</v>
      </c>
      <c r="AB26" s="9" t="s">
        <v>128</v>
      </c>
      <c r="AC26" s="9" t="s">
        <v>114</v>
      </c>
      <c r="AD26" s="41"/>
      <c r="AE26" s="41"/>
      <c r="AF26" s="43"/>
      <c r="AG26" s="43"/>
      <c r="AH26" s="41"/>
      <c r="AI26" s="41"/>
      <c r="AJ26" s="43" t="s">
        <v>273</v>
      </c>
      <c r="AK26" s="43" t="s">
        <v>114</v>
      </c>
      <c r="AL26" s="41"/>
      <c r="AM26" s="41"/>
      <c r="AN26" s="43"/>
      <c r="AO26" s="43"/>
      <c r="AP26" s="22">
        <f t="shared" si="0"/>
        <v>4</v>
      </c>
    </row>
    <row r="27" spans="1:103" s="18" customFormat="1" ht="15.75" customHeight="1" x14ac:dyDescent="0.25">
      <c r="A27">
        <v>396</v>
      </c>
      <c r="B27" t="s">
        <v>331</v>
      </c>
      <c r="C27" t="s">
        <v>332</v>
      </c>
      <c r="D27" t="s">
        <v>173</v>
      </c>
      <c r="E27" t="s">
        <v>174</v>
      </c>
      <c r="F27" s="12"/>
      <c r="G27" s="12"/>
      <c r="H27" s="12"/>
      <c r="I27" s="12"/>
      <c r="J27" s="4"/>
      <c r="K27" s="4"/>
      <c r="L27" s="10" t="s">
        <v>198</v>
      </c>
      <c r="M27" s="10" t="s">
        <v>115</v>
      </c>
      <c r="N27" s="4"/>
      <c r="O27" s="4"/>
      <c r="P27" s="52"/>
      <c r="Q27" s="52"/>
      <c r="R27" s="4"/>
      <c r="S27" s="4"/>
      <c r="T27" s="9"/>
      <c r="U27" s="9"/>
      <c r="V27" s="4"/>
      <c r="W27" s="4"/>
      <c r="X27" s="9"/>
      <c r="Y27" s="9"/>
      <c r="Z27" s="4" t="s">
        <v>128</v>
      </c>
      <c r="AA27" s="4" t="s">
        <v>115</v>
      </c>
      <c r="AB27" s="9" t="s">
        <v>128</v>
      </c>
      <c r="AC27" s="9" t="s">
        <v>115</v>
      </c>
      <c r="AD27" s="41"/>
      <c r="AE27" s="41"/>
      <c r="AF27" s="81" t="s">
        <v>14</v>
      </c>
      <c r="AG27" s="81" t="s">
        <v>114</v>
      </c>
      <c r="AH27" s="81" t="s">
        <v>14</v>
      </c>
      <c r="AI27" s="81" t="s">
        <v>114</v>
      </c>
      <c r="AJ27" s="43"/>
      <c r="AK27" s="43"/>
      <c r="AL27" s="41"/>
      <c r="AM27" s="41"/>
      <c r="AN27" s="43"/>
      <c r="AO27" s="43"/>
      <c r="AP27" s="22">
        <f t="shared" si="0"/>
        <v>5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</row>
    <row r="28" spans="1:103" ht="15.75" customHeight="1" x14ac:dyDescent="0.25">
      <c r="A28">
        <v>51</v>
      </c>
      <c r="B28" t="s">
        <v>333</v>
      </c>
      <c r="C28" t="s">
        <v>334</v>
      </c>
      <c r="D28" t="s">
        <v>179</v>
      </c>
      <c r="E28" t="s">
        <v>180</v>
      </c>
      <c r="F28" s="4"/>
      <c r="G28" s="4"/>
      <c r="H28" s="9"/>
      <c r="I28" s="9"/>
      <c r="J28" s="4" t="s">
        <v>35</v>
      </c>
      <c r="K28" s="4" t="s">
        <v>114</v>
      </c>
      <c r="L28" s="9" t="s">
        <v>35</v>
      </c>
      <c r="M28" s="9" t="s">
        <v>114</v>
      </c>
      <c r="N28" s="4"/>
      <c r="O28" s="4"/>
      <c r="P28" s="52"/>
      <c r="Q28" s="52"/>
      <c r="R28" s="4"/>
      <c r="S28" s="4"/>
      <c r="T28" s="72" t="s">
        <v>192</v>
      </c>
      <c r="U28" s="72" t="s">
        <v>115</v>
      </c>
      <c r="V28" s="4" t="s">
        <v>41</v>
      </c>
      <c r="W28" s="4" t="s">
        <v>114</v>
      </c>
      <c r="X28" s="9" t="s">
        <v>41</v>
      </c>
      <c r="Y28" s="9" t="s">
        <v>114</v>
      </c>
      <c r="Z28" s="4"/>
      <c r="AA28" s="4"/>
      <c r="AB28" s="9"/>
      <c r="AC28" s="9"/>
      <c r="AD28" s="41"/>
      <c r="AE28" s="41"/>
      <c r="AF28" s="43"/>
      <c r="AG28" s="43"/>
      <c r="AH28" s="41"/>
      <c r="AI28" s="41"/>
      <c r="AJ28" s="43"/>
      <c r="AK28" s="43"/>
      <c r="AL28" s="41"/>
      <c r="AM28" s="41"/>
      <c r="AN28" s="43"/>
      <c r="AO28" s="43"/>
      <c r="AP28" s="22">
        <f t="shared" si="0"/>
        <v>5</v>
      </c>
    </row>
    <row r="29" spans="1:103" ht="15.75" customHeight="1" x14ac:dyDescent="0.25">
      <c r="A29">
        <v>38</v>
      </c>
      <c r="B29" t="s">
        <v>335</v>
      </c>
      <c r="C29" t="s">
        <v>336</v>
      </c>
      <c r="D29" t="s">
        <v>179</v>
      </c>
      <c r="E29" t="s">
        <v>180</v>
      </c>
      <c r="F29" s="4"/>
      <c r="G29" s="4"/>
      <c r="H29" s="9"/>
      <c r="I29" s="9"/>
      <c r="J29" s="4" t="s">
        <v>223</v>
      </c>
      <c r="K29" s="4" t="s">
        <v>115</v>
      </c>
      <c r="L29" s="9"/>
      <c r="M29" s="9"/>
      <c r="N29" s="4"/>
      <c r="O29" s="4"/>
      <c r="P29" s="52"/>
      <c r="Q29" s="52"/>
      <c r="R29" s="4"/>
      <c r="S29" s="4"/>
      <c r="T29" s="9" t="s">
        <v>24</v>
      </c>
      <c r="U29" s="9" t="s">
        <v>115</v>
      </c>
      <c r="V29" s="4" t="s">
        <v>24</v>
      </c>
      <c r="W29" s="4" t="s">
        <v>115</v>
      </c>
      <c r="X29" s="9"/>
      <c r="Y29" s="9"/>
      <c r="Z29" s="4"/>
      <c r="AA29" s="4"/>
      <c r="AB29" s="9"/>
      <c r="AC29" s="9"/>
      <c r="AD29" s="41"/>
      <c r="AE29" s="41"/>
      <c r="AF29" s="43" t="s">
        <v>221</v>
      </c>
      <c r="AG29" s="43" t="s">
        <v>115</v>
      </c>
      <c r="AH29" s="41"/>
      <c r="AI29" s="41"/>
      <c r="AJ29" s="43"/>
      <c r="AK29" s="43"/>
      <c r="AL29" s="41"/>
      <c r="AM29" s="41"/>
      <c r="AN29" s="43"/>
      <c r="AO29" s="43"/>
      <c r="AP29" s="22">
        <f t="shared" si="0"/>
        <v>4</v>
      </c>
    </row>
    <row r="30" spans="1:103" ht="15.75" customHeight="1" x14ac:dyDescent="0.25">
      <c r="A30">
        <v>487</v>
      </c>
      <c r="B30" t="s">
        <v>337</v>
      </c>
      <c r="C30" t="s">
        <v>338</v>
      </c>
      <c r="D30" t="s">
        <v>161</v>
      </c>
      <c r="E30" t="s">
        <v>162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60"/>
      <c r="Q30" s="60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14">
        <f t="shared" si="0"/>
        <v>0</v>
      </c>
    </row>
    <row r="31" spans="1:103" s="24" customFormat="1" ht="15.75" customHeight="1" x14ac:dyDescent="0.25">
      <c r="A31">
        <v>424</v>
      </c>
      <c r="B31" t="s">
        <v>339</v>
      </c>
      <c r="C31" t="s">
        <v>340</v>
      </c>
      <c r="D31" t="s">
        <v>99</v>
      </c>
      <c r="E31" t="s">
        <v>100</v>
      </c>
      <c r="F31" s="4"/>
      <c r="G31" s="4"/>
      <c r="H31" s="9" t="s">
        <v>141</v>
      </c>
      <c r="I31" s="9" t="s">
        <v>114</v>
      </c>
      <c r="J31" s="4" t="s">
        <v>141</v>
      </c>
      <c r="K31" s="4" t="s">
        <v>114</v>
      </c>
      <c r="L31" s="9"/>
      <c r="M31" s="9"/>
      <c r="N31" s="4"/>
      <c r="O31" s="4"/>
      <c r="P31" s="52"/>
      <c r="Q31" s="52"/>
      <c r="R31" s="4"/>
      <c r="S31" s="4"/>
      <c r="T31" s="9"/>
      <c r="U31" s="9"/>
      <c r="V31" s="4"/>
      <c r="W31" s="4"/>
      <c r="X31" s="9"/>
      <c r="Y31" s="9"/>
      <c r="Z31" s="4"/>
      <c r="AA31" s="4"/>
      <c r="AB31" s="9"/>
      <c r="AC31" s="9"/>
      <c r="AD31" s="41" t="s">
        <v>128</v>
      </c>
      <c r="AE31" s="41" t="s">
        <v>114</v>
      </c>
      <c r="AF31" s="43" t="s">
        <v>128</v>
      </c>
      <c r="AG31" s="43" t="s">
        <v>114</v>
      </c>
      <c r="AH31" s="41"/>
      <c r="AI31" s="41"/>
      <c r="AJ31" s="43"/>
      <c r="AK31" s="43"/>
      <c r="AL31" s="41"/>
      <c r="AM31" s="41"/>
      <c r="AN31" s="43"/>
      <c r="AO31" s="43"/>
      <c r="AP31" s="22">
        <f>COUNTA(F31,H31,J31,L31,N31,P31,R31,T31,V31,X31,Z31,AB31,AD31,AF31,AH31,AJ31,AL31,AN31)</f>
        <v>4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</row>
    <row r="32" spans="1:103" s="16" customFormat="1" ht="15.75" customHeight="1" x14ac:dyDescent="0.25">
      <c r="A32">
        <v>93</v>
      </c>
      <c r="B32" t="s">
        <v>341</v>
      </c>
      <c r="C32" t="s">
        <v>342</v>
      </c>
      <c r="D32" t="s">
        <v>179</v>
      </c>
      <c r="E32" t="s">
        <v>180</v>
      </c>
      <c r="F32" s="10" t="s">
        <v>269</v>
      </c>
      <c r="G32" s="10" t="s">
        <v>114</v>
      </c>
      <c r="H32" s="9"/>
      <c r="I32" s="9"/>
      <c r="J32" s="4"/>
      <c r="K32" s="4"/>
      <c r="L32" s="66"/>
      <c r="M32" s="66"/>
      <c r="N32" s="4"/>
      <c r="O32" s="4"/>
      <c r="P32" s="52"/>
      <c r="Q32" s="52"/>
      <c r="R32" s="4"/>
      <c r="S32" s="4"/>
      <c r="T32" s="10" t="s">
        <v>128</v>
      </c>
      <c r="U32" s="10" t="s">
        <v>114</v>
      </c>
      <c r="V32" s="4" t="s">
        <v>41</v>
      </c>
      <c r="W32" s="4" t="s">
        <v>115</v>
      </c>
      <c r="X32" s="9" t="s">
        <v>41</v>
      </c>
      <c r="Y32" s="9" t="s">
        <v>115</v>
      </c>
      <c r="Z32" s="4"/>
      <c r="AA32" s="4"/>
      <c r="AB32" s="9"/>
      <c r="AC32" s="9"/>
      <c r="AD32" s="59"/>
      <c r="AE32" s="59"/>
      <c r="AF32" s="59"/>
      <c r="AG32" s="59"/>
      <c r="AH32" s="41"/>
      <c r="AI32" s="41"/>
      <c r="AJ32" s="43"/>
      <c r="AK32" s="43"/>
      <c r="AL32" s="41"/>
      <c r="AM32" s="41"/>
      <c r="AN32" s="43"/>
      <c r="AO32" s="43"/>
      <c r="AP32" s="22">
        <f t="shared" si="0"/>
        <v>4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</row>
    <row r="33" spans="1:103" ht="15.75" customHeight="1" x14ac:dyDescent="0.25">
      <c r="A33">
        <v>407</v>
      </c>
      <c r="B33" t="s">
        <v>343</v>
      </c>
      <c r="C33" t="s">
        <v>344</v>
      </c>
      <c r="D33" t="s">
        <v>171</v>
      </c>
      <c r="E33" t="s">
        <v>172</v>
      </c>
      <c r="F33" s="4" t="s">
        <v>25</v>
      </c>
      <c r="G33" s="4" t="s">
        <v>115</v>
      </c>
      <c r="H33" s="9" t="s">
        <v>25</v>
      </c>
      <c r="I33" s="9" t="s">
        <v>115</v>
      </c>
      <c r="J33" s="4"/>
      <c r="K33" s="4"/>
      <c r="L33" s="9"/>
      <c r="M33" s="9"/>
      <c r="N33" s="12"/>
      <c r="O33" s="12"/>
      <c r="P33" s="52"/>
      <c r="Q33" s="52"/>
      <c r="R33" s="75" t="s">
        <v>128</v>
      </c>
      <c r="S33" s="75" t="s">
        <v>114</v>
      </c>
      <c r="T33" s="9"/>
      <c r="U33" s="9"/>
      <c r="V33" s="4"/>
      <c r="W33" s="4"/>
      <c r="X33" s="9"/>
      <c r="Y33" s="9"/>
      <c r="Z33" s="64"/>
      <c r="AA33" s="64"/>
      <c r="AB33" s="64"/>
      <c r="AC33" s="64"/>
      <c r="AD33" s="41"/>
      <c r="AE33" s="41"/>
      <c r="AF33" s="43"/>
      <c r="AG33" s="43"/>
      <c r="AH33" s="41"/>
      <c r="AI33" s="41"/>
      <c r="AJ33" s="77" t="s">
        <v>14</v>
      </c>
      <c r="AK33" s="77" t="s">
        <v>114</v>
      </c>
      <c r="AL33" s="41"/>
      <c r="AM33" s="41"/>
      <c r="AN33" s="43"/>
      <c r="AO33" s="43"/>
      <c r="AP33" s="22">
        <f t="shared" si="0"/>
        <v>4</v>
      </c>
    </row>
    <row r="34" spans="1:103" ht="15.75" customHeight="1" x14ac:dyDescent="0.25">
      <c r="A34">
        <v>459</v>
      </c>
      <c r="B34" t="s">
        <v>345</v>
      </c>
      <c r="C34" t="s">
        <v>346</v>
      </c>
      <c r="D34" t="s">
        <v>247</v>
      </c>
      <c r="E34" t="s">
        <v>248</v>
      </c>
      <c r="F34" s="4"/>
      <c r="G34" s="4"/>
      <c r="H34" s="9"/>
      <c r="I34" s="9"/>
      <c r="J34" s="4"/>
      <c r="K34" s="4"/>
      <c r="L34" s="9"/>
      <c r="M34" s="9"/>
      <c r="N34" s="4"/>
      <c r="O34" s="4"/>
      <c r="P34" s="52"/>
      <c r="Q34" s="52"/>
      <c r="R34" s="4"/>
      <c r="S34" s="4"/>
      <c r="T34" s="9"/>
      <c r="U34" s="9"/>
      <c r="V34" s="4"/>
      <c r="W34" s="4"/>
      <c r="X34" s="9" t="s">
        <v>143</v>
      </c>
      <c r="Y34" s="9" t="s">
        <v>114</v>
      </c>
      <c r="Z34" s="4" t="s">
        <v>143</v>
      </c>
      <c r="AA34" s="4" t="s">
        <v>114</v>
      </c>
      <c r="AB34" s="9"/>
      <c r="AC34" s="9"/>
      <c r="AD34" s="41"/>
      <c r="AE34" s="41"/>
      <c r="AF34" s="43"/>
      <c r="AG34" s="43"/>
      <c r="AH34" s="41" t="s">
        <v>128</v>
      </c>
      <c r="AI34" s="41" t="s">
        <v>114</v>
      </c>
      <c r="AJ34" s="68" t="s">
        <v>40</v>
      </c>
      <c r="AK34" s="68" t="s">
        <v>114</v>
      </c>
      <c r="AL34" s="41"/>
      <c r="AM34" s="41"/>
      <c r="AN34" s="43"/>
      <c r="AO34" s="43"/>
      <c r="AP34" s="22">
        <f t="shared" si="0"/>
        <v>4</v>
      </c>
    </row>
    <row r="35" spans="1:103" ht="15.75" customHeight="1" x14ac:dyDescent="0.25">
      <c r="A35">
        <v>1</v>
      </c>
      <c r="B35" t="s">
        <v>347</v>
      </c>
      <c r="C35" t="s">
        <v>348</v>
      </c>
      <c r="D35" t="s">
        <v>175</v>
      </c>
      <c r="E35" t="s">
        <v>176</v>
      </c>
      <c r="F35" s="84" t="s">
        <v>208</v>
      </c>
      <c r="G35" s="84" t="s">
        <v>115</v>
      </c>
      <c r="H35" s="84" t="s">
        <v>208</v>
      </c>
      <c r="I35" s="84" t="s">
        <v>115</v>
      </c>
      <c r="J35" s="4"/>
      <c r="K35" s="4"/>
      <c r="L35" s="9"/>
      <c r="M35" s="9"/>
      <c r="N35" s="84" t="s">
        <v>128</v>
      </c>
      <c r="O35" s="84" t="s">
        <v>115</v>
      </c>
      <c r="P35" s="85" t="s">
        <v>128</v>
      </c>
      <c r="Q35" s="85" t="s">
        <v>115</v>
      </c>
      <c r="R35" s="4"/>
      <c r="S35" s="4"/>
      <c r="T35" s="9"/>
      <c r="U35" s="9"/>
      <c r="V35" s="4"/>
      <c r="W35" s="4"/>
      <c r="X35" s="9"/>
      <c r="Y35" s="9"/>
      <c r="Z35" s="4" t="s">
        <v>18</v>
      </c>
      <c r="AA35" s="4" t="s">
        <v>114</v>
      </c>
      <c r="AB35" s="9" t="s">
        <v>18</v>
      </c>
      <c r="AC35" s="9" t="s">
        <v>114</v>
      </c>
      <c r="AD35" s="41"/>
      <c r="AE35" s="41"/>
      <c r="AF35" s="43"/>
      <c r="AG35" s="43"/>
      <c r="AH35" s="41" t="s">
        <v>128</v>
      </c>
      <c r="AI35" s="41" t="s">
        <v>115</v>
      </c>
      <c r="AJ35" s="43" t="s">
        <v>128</v>
      </c>
      <c r="AK35" s="43" t="s">
        <v>115</v>
      </c>
      <c r="AL35" s="41"/>
      <c r="AM35" s="41"/>
      <c r="AN35" s="43"/>
      <c r="AO35" s="43"/>
      <c r="AP35" s="22">
        <f t="shared" si="0"/>
        <v>8</v>
      </c>
    </row>
    <row r="36" spans="1:103" ht="15.75" customHeight="1" x14ac:dyDescent="0.25">
      <c r="A36">
        <v>562</v>
      </c>
      <c r="B36" t="s">
        <v>349</v>
      </c>
      <c r="C36" t="s">
        <v>350</v>
      </c>
      <c r="D36" t="s">
        <v>70</v>
      </c>
      <c r="E36" t="s">
        <v>71</v>
      </c>
      <c r="F36" s="4"/>
      <c r="G36" s="4"/>
      <c r="H36" s="9"/>
      <c r="I36" s="9"/>
      <c r="J36" s="4" t="s">
        <v>25</v>
      </c>
      <c r="K36" s="4" t="s">
        <v>114</v>
      </c>
      <c r="L36" s="9"/>
      <c r="M36" s="9"/>
      <c r="N36" s="4" t="s">
        <v>280</v>
      </c>
      <c r="O36" s="4" t="s">
        <v>114</v>
      </c>
      <c r="P36" s="67"/>
      <c r="Q36" s="67"/>
      <c r="R36" s="69"/>
      <c r="S36" s="69"/>
      <c r="T36" s="75" t="s">
        <v>65</v>
      </c>
      <c r="U36" s="75" t="s">
        <v>114</v>
      </c>
      <c r="V36" s="64"/>
      <c r="W36" s="64"/>
      <c r="X36" s="64"/>
      <c r="Y36" s="64"/>
      <c r="Z36" s="4"/>
      <c r="AA36" s="4"/>
      <c r="AB36" s="75" t="s">
        <v>65</v>
      </c>
      <c r="AC36" s="75" t="s">
        <v>114</v>
      </c>
      <c r="AD36" s="41"/>
      <c r="AE36" s="41"/>
      <c r="AF36" s="43"/>
      <c r="AG36" s="43"/>
      <c r="AH36" s="41"/>
      <c r="AI36" s="41"/>
      <c r="AJ36" s="43"/>
      <c r="AK36" s="43"/>
      <c r="AL36" s="41"/>
      <c r="AM36" s="41"/>
      <c r="AN36" s="43"/>
      <c r="AO36" s="43"/>
      <c r="AP36" s="22">
        <f t="shared" si="0"/>
        <v>4</v>
      </c>
    </row>
    <row r="37" spans="1:103" ht="15.75" customHeight="1" x14ac:dyDescent="0.25">
      <c r="A37">
        <v>72</v>
      </c>
      <c r="B37" t="s">
        <v>351</v>
      </c>
      <c r="C37" t="s">
        <v>352</v>
      </c>
      <c r="D37" t="s">
        <v>91</v>
      </c>
      <c r="E37" t="s">
        <v>92</v>
      </c>
      <c r="F37" s="4"/>
      <c r="G37" s="4"/>
      <c r="H37" s="9"/>
      <c r="I37" s="9"/>
      <c r="J37" s="4"/>
      <c r="K37" s="4"/>
      <c r="L37" s="9"/>
      <c r="M37" s="9"/>
      <c r="N37" s="12"/>
      <c r="O37" s="12"/>
      <c r="P37" s="60"/>
      <c r="Q37" s="60"/>
      <c r="R37" s="4"/>
      <c r="S37" s="4"/>
      <c r="T37" s="9"/>
      <c r="U37" s="9"/>
      <c r="V37" s="4"/>
      <c r="W37" s="4"/>
      <c r="X37" s="9"/>
      <c r="Y37" s="9"/>
      <c r="Z37" s="4"/>
      <c r="AA37" s="4"/>
      <c r="AB37" s="9"/>
      <c r="AC37" s="9"/>
      <c r="AD37" s="41" t="s">
        <v>18</v>
      </c>
      <c r="AE37" s="41" t="s">
        <v>114</v>
      </c>
      <c r="AF37" s="43" t="s">
        <v>18</v>
      </c>
      <c r="AG37" s="43" t="s">
        <v>114</v>
      </c>
      <c r="AH37" s="41"/>
      <c r="AI37" s="41"/>
      <c r="AJ37" s="43"/>
      <c r="AK37" s="43"/>
      <c r="AL37" s="41"/>
      <c r="AM37" s="41"/>
      <c r="AN37" s="43"/>
      <c r="AO37" s="43"/>
      <c r="AP37" s="22">
        <f t="shared" si="0"/>
        <v>2</v>
      </c>
    </row>
    <row r="38" spans="1:103" s="23" customFormat="1" ht="15.75" customHeight="1" x14ac:dyDescent="0.25">
      <c r="A38">
        <v>17</v>
      </c>
      <c r="B38" t="s">
        <v>353</v>
      </c>
      <c r="C38" t="s">
        <v>354</v>
      </c>
      <c r="D38" t="s">
        <v>150</v>
      </c>
      <c r="E38" t="s">
        <v>151</v>
      </c>
      <c r="F38" s="4"/>
      <c r="G38" s="4"/>
      <c r="H38" s="9"/>
      <c r="I38" s="9"/>
      <c r="J38" s="4"/>
      <c r="K38" s="4"/>
      <c r="L38" s="9"/>
      <c r="M38" s="9"/>
      <c r="N38" s="4"/>
      <c r="O38" s="4"/>
      <c r="P38" s="52" t="s">
        <v>192</v>
      </c>
      <c r="Q38" s="52" t="s">
        <v>114</v>
      </c>
      <c r="R38" s="4" t="s">
        <v>192</v>
      </c>
      <c r="S38" s="4" t="s">
        <v>114</v>
      </c>
      <c r="T38" s="9"/>
      <c r="U38" s="9"/>
      <c r="V38" s="4"/>
      <c r="W38" s="4"/>
      <c r="X38" s="9"/>
      <c r="Y38" s="9"/>
      <c r="Z38" s="4" t="s">
        <v>41</v>
      </c>
      <c r="AA38" s="4" t="s">
        <v>114</v>
      </c>
      <c r="AB38" s="9" t="s">
        <v>41</v>
      </c>
      <c r="AC38" s="9" t="s">
        <v>114</v>
      </c>
      <c r="AD38" s="42"/>
      <c r="AE38" s="42"/>
      <c r="AF38" s="47"/>
      <c r="AG38" s="47"/>
      <c r="AH38" s="42"/>
      <c r="AI38" s="42"/>
      <c r="AJ38" s="47"/>
      <c r="AK38" s="47"/>
      <c r="AL38" s="41"/>
      <c r="AM38" s="42"/>
      <c r="AN38" s="43"/>
      <c r="AO38" s="47"/>
      <c r="AP38" s="22">
        <f t="shared" si="0"/>
        <v>4</v>
      </c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</row>
    <row r="39" spans="1:103" s="21" customFormat="1" ht="15.75" customHeight="1" x14ac:dyDescent="0.25">
      <c r="A39">
        <v>115</v>
      </c>
      <c r="B39" t="s">
        <v>355</v>
      </c>
      <c r="C39" t="s">
        <v>356</v>
      </c>
      <c r="D39" t="s">
        <v>166</v>
      </c>
      <c r="E39" t="s">
        <v>167</v>
      </c>
      <c r="F39" s="4"/>
      <c r="G39" s="4"/>
      <c r="H39" s="12"/>
      <c r="I39" s="12"/>
      <c r="J39" s="4"/>
      <c r="K39" s="4"/>
      <c r="L39" s="9"/>
      <c r="M39" s="9"/>
      <c r="N39" s="4"/>
      <c r="O39" s="4"/>
      <c r="P39" s="52"/>
      <c r="Q39" s="52"/>
      <c r="R39" s="4"/>
      <c r="S39" s="4"/>
      <c r="T39" s="10" t="s">
        <v>264</v>
      </c>
      <c r="U39" s="10" t="s">
        <v>114</v>
      </c>
      <c r="V39" s="10" t="s">
        <v>264</v>
      </c>
      <c r="W39" s="10" t="s">
        <v>114</v>
      </c>
      <c r="X39" s="12"/>
      <c r="Y39" s="12"/>
      <c r="Z39" s="12"/>
      <c r="AA39" s="12"/>
      <c r="AB39" s="83" t="s">
        <v>205</v>
      </c>
      <c r="AC39" s="83" t="s">
        <v>115</v>
      </c>
      <c r="AD39" s="42" t="s">
        <v>41</v>
      </c>
      <c r="AE39" s="42" t="s">
        <v>114</v>
      </c>
      <c r="AF39" s="47" t="s">
        <v>41</v>
      </c>
      <c r="AG39" s="47" t="s">
        <v>114</v>
      </c>
      <c r="AH39" s="42"/>
      <c r="AI39" s="42"/>
      <c r="AJ39" s="47"/>
      <c r="AK39" s="47"/>
      <c r="AL39" s="41"/>
      <c r="AM39" s="42"/>
      <c r="AN39" s="43"/>
      <c r="AO39" s="47"/>
      <c r="AP39" s="22">
        <f t="shared" si="0"/>
        <v>5</v>
      </c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</row>
    <row r="40" spans="1:103" s="23" customFormat="1" ht="15.75" customHeight="1" x14ac:dyDescent="0.25">
      <c r="A40">
        <v>55</v>
      </c>
      <c r="B40" t="s">
        <v>357</v>
      </c>
      <c r="C40" t="s">
        <v>358</v>
      </c>
      <c r="D40" t="s">
        <v>181</v>
      </c>
      <c r="E40" t="s">
        <v>182</v>
      </c>
      <c r="F40" s="4"/>
      <c r="G40" s="4"/>
      <c r="H40" s="9"/>
      <c r="I40" s="9"/>
      <c r="J40" s="4"/>
      <c r="K40" s="4"/>
      <c r="L40" s="9"/>
      <c r="M40" s="9"/>
      <c r="N40" s="4"/>
      <c r="O40" s="4"/>
      <c r="P40" s="52" t="s">
        <v>192</v>
      </c>
      <c r="Q40" s="52" t="s">
        <v>115</v>
      </c>
      <c r="R40" s="4" t="s">
        <v>192</v>
      </c>
      <c r="S40" s="4" t="s">
        <v>115</v>
      </c>
      <c r="T40" s="9"/>
      <c r="U40" s="9"/>
      <c r="V40" s="4"/>
      <c r="W40" s="4"/>
      <c r="X40" s="9" t="s">
        <v>7</v>
      </c>
      <c r="Y40" s="9" t="s">
        <v>115</v>
      </c>
      <c r="Z40" s="4" t="s">
        <v>7</v>
      </c>
      <c r="AA40" s="4" t="s">
        <v>115</v>
      </c>
      <c r="AB40" s="9"/>
      <c r="AC40" s="9"/>
      <c r="AD40" s="42"/>
      <c r="AE40" s="42"/>
      <c r="AF40" s="47"/>
      <c r="AG40" s="47"/>
      <c r="AH40" s="42"/>
      <c r="AI40" s="42"/>
      <c r="AJ40" s="47"/>
      <c r="AK40" s="47"/>
      <c r="AL40" s="41"/>
      <c r="AM40" s="42"/>
      <c r="AN40" s="43"/>
      <c r="AO40" s="47"/>
      <c r="AP40" s="22">
        <f t="shared" si="0"/>
        <v>4</v>
      </c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</row>
    <row r="41" spans="1:103" ht="15.75" customHeight="1" x14ac:dyDescent="0.25">
      <c r="A41">
        <v>492</v>
      </c>
      <c r="B41" t="s">
        <v>359</v>
      </c>
      <c r="C41" t="s">
        <v>211</v>
      </c>
      <c r="D41" t="s">
        <v>161</v>
      </c>
      <c r="E41" t="s">
        <v>162</v>
      </c>
      <c r="F41" s="4"/>
      <c r="G41" s="4"/>
      <c r="H41" s="9"/>
      <c r="I41" s="9"/>
      <c r="J41" s="4"/>
      <c r="K41" s="4"/>
      <c r="L41" s="9"/>
      <c r="M41" s="9"/>
      <c r="N41" s="4"/>
      <c r="O41" s="4"/>
      <c r="P41" s="52"/>
      <c r="Q41" s="52"/>
      <c r="R41" s="4"/>
      <c r="S41" s="4"/>
      <c r="T41" s="9" t="s">
        <v>192</v>
      </c>
      <c r="U41" s="9" t="s">
        <v>114</v>
      </c>
      <c r="V41" s="4" t="s">
        <v>192</v>
      </c>
      <c r="W41" s="4" t="s">
        <v>114</v>
      </c>
      <c r="X41" s="9"/>
      <c r="Y41" s="9"/>
      <c r="Z41" s="4"/>
      <c r="AA41" s="4"/>
      <c r="AB41" s="9" t="s">
        <v>7</v>
      </c>
      <c r="AC41" s="9" t="s">
        <v>114</v>
      </c>
      <c r="AD41" s="41" t="s">
        <v>7</v>
      </c>
      <c r="AE41" s="41" t="s">
        <v>114</v>
      </c>
      <c r="AF41" s="43"/>
      <c r="AG41" s="43"/>
      <c r="AH41" s="41"/>
      <c r="AI41" s="41"/>
      <c r="AJ41" s="43"/>
      <c r="AK41" s="43"/>
      <c r="AL41" s="41"/>
      <c r="AM41" s="41"/>
      <c r="AN41" s="43"/>
      <c r="AO41" s="43"/>
      <c r="AP41" s="22">
        <f t="shared" si="0"/>
        <v>4</v>
      </c>
    </row>
    <row r="42" spans="1:103" ht="15.75" customHeight="1" x14ac:dyDescent="0.25">
      <c r="A42">
        <v>461</v>
      </c>
      <c r="B42" t="s">
        <v>360</v>
      </c>
      <c r="C42" t="s">
        <v>352</v>
      </c>
      <c r="D42" t="s">
        <v>209</v>
      </c>
      <c r="E42" t="s">
        <v>210</v>
      </c>
      <c r="F42" s="69"/>
      <c r="G42" s="69"/>
      <c r="H42" s="69"/>
      <c r="I42" s="69"/>
      <c r="J42" s="4"/>
      <c r="K42" s="4"/>
      <c r="L42" s="9"/>
      <c r="M42" s="9"/>
      <c r="N42" s="75" t="s">
        <v>65</v>
      </c>
      <c r="O42" s="75" t="s">
        <v>114</v>
      </c>
      <c r="P42" s="76" t="s">
        <v>65</v>
      </c>
      <c r="Q42" s="76" t="s">
        <v>114</v>
      </c>
      <c r="R42" s="75" t="s">
        <v>65</v>
      </c>
      <c r="S42" s="75" t="s">
        <v>114</v>
      </c>
      <c r="T42" s="64"/>
      <c r="U42" s="64"/>
      <c r="V42" s="4"/>
      <c r="W42" s="4"/>
      <c r="X42" s="9"/>
      <c r="Y42" s="9"/>
      <c r="Z42" s="4"/>
      <c r="AA42" s="4"/>
      <c r="AB42" s="9"/>
      <c r="AC42" s="9"/>
      <c r="AD42" s="41" t="s">
        <v>65</v>
      </c>
      <c r="AE42" s="41" t="s">
        <v>114</v>
      </c>
      <c r="AF42" s="43" t="s">
        <v>65</v>
      </c>
      <c r="AG42" s="43" t="s">
        <v>114</v>
      </c>
      <c r="AH42" s="41"/>
      <c r="AI42" s="41"/>
      <c r="AJ42" s="43"/>
      <c r="AK42" s="43"/>
      <c r="AL42" s="41"/>
      <c r="AM42" s="41"/>
      <c r="AN42" s="43"/>
      <c r="AO42" s="43"/>
      <c r="AP42" s="22">
        <f>COUNTA(F42,H42,J42,L42,N42,P42,R42,T42,V42,X42,Z42,AB42,AD42,AF42,AH42,AJ42,AL42,AN42)</f>
        <v>5</v>
      </c>
    </row>
    <row r="43" spans="1:103" s="24" customFormat="1" ht="15.75" customHeight="1" x14ac:dyDescent="0.25">
      <c r="A43">
        <v>428</v>
      </c>
      <c r="B43" t="s">
        <v>361</v>
      </c>
      <c r="C43" t="s">
        <v>362</v>
      </c>
      <c r="D43" t="s">
        <v>80</v>
      </c>
      <c r="E43" t="s">
        <v>62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60"/>
      <c r="Q43" s="60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59"/>
      <c r="AE43" s="59"/>
      <c r="AF43" s="59"/>
      <c r="AG43" s="59"/>
      <c r="AH43" s="59"/>
      <c r="AI43" s="59"/>
      <c r="AJ43" s="59"/>
      <c r="AK43" s="59"/>
      <c r="AL43" s="41"/>
      <c r="AM43" s="41"/>
      <c r="AN43" s="43"/>
      <c r="AO43" s="43"/>
      <c r="AP43" s="22">
        <f t="shared" si="0"/>
        <v>0</v>
      </c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</row>
    <row r="44" spans="1:103" ht="15.75" customHeight="1" x14ac:dyDescent="0.25">
      <c r="A44">
        <v>91</v>
      </c>
      <c r="B44" t="s">
        <v>363</v>
      </c>
      <c r="C44" t="s">
        <v>364</v>
      </c>
      <c r="D44" t="s">
        <v>74</v>
      </c>
      <c r="E44" t="s">
        <v>75</v>
      </c>
      <c r="F44" s="4" t="s">
        <v>25</v>
      </c>
      <c r="G44" s="4" t="s">
        <v>114</v>
      </c>
      <c r="H44" s="9" t="s">
        <v>25</v>
      </c>
      <c r="I44" s="9" t="s">
        <v>114</v>
      </c>
      <c r="J44" s="4"/>
      <c r="K44" s="4"/>
      <c r="L44" s="9"/>
      <c r="M44" s="9"/>
      <c r="N44" s="4"/>
      <c r="O44" s="4"/>
      <c r="P44" s="52"/>
      <c r="Q44" s="52"/>
      <c r="R44" s="4"/>
      <c r="S44" s="4"/>
      <c r="T44" s="9"/>
      <c r="U44" s="9"/>
      <c r="V44" s="75" t="s">
        <v>65</v>
      </c>
      <c r="W44" s="75" t="s">
        <v>114</v>
      </c>
      <c r="X44" s="9" t="s">
        <v>195</v>
      </c>
      <c r="Y44" s="9" t="s">
        <v>114</v>
      </c>
      <c r="Z44" s="75" t="s">
        <v>65</v>
      </c>
      <c r="AA44" s="75" t="s">
        <v>114</v>
      </c>
      <c r="AB44" s="9"/>
      <c r="AC44" s="9"/>
      <c r="AD44" s="41"/>
      <c r="AE44" s="41"/>
      <c r="AF44" s="43"/>
      <c r="AG44" s="43"/>
      <c r="AH44" s="41"/>
      <c r="AI44" s="41"/>
      <c r="AJ44" s="43"/>
      <c r="AK44" s="43"/>
      <c r="AL44" s="41"/>
      <c r="AM44" s="41"/>
      <c r="AN44" s="43"/>
      <c r="AO44" s="43"/>
      <c r="AP44" s="22">
        <f t="shared" si="0"/>
        <v>5</v>
      </c>
    </row>
    <row r="45" spans="1:103" ht="15.75" customHeight="1" x14ac:dyDescent="0.25">
      <c r="A45">
        <v>380</v>
      </c>
      <c r="B45" t="s">
        <v>365</v>
      </c>
      <c r="C45" t="s">
        <v>366</v>
      </c>
      <c r="D45" t="s">
        <v>161</v>
      </c>
      <c r="E45" t="s">
        <v>162</v>
      </c>
      <c r="F45" s="10" t="s">
        <v>128</v>
      </c>
      <c r="G45" s="10" t="s">
        <v>114</v>
      </c>
      <c r="H45" s="9"/>
      <c r="I45" s="9"/>
      <c r="J45" s="4"/>
      <c r="K45" s="4"/>
      <c r="L45" s="9"/>
      <c r="M45" s="9"/>
      <c r="N45" s="4"/>
      <c r="O45" s="4"/>
      <c r="P45" s="52"/>
      <c r="Q45" s="52"/>
      <c r="R45" s="4"/>
      <c r="S45" s="4"/>
      <c r="T45" s="9"/>
      <c r="U45" s="9"/>
      <c r="V45" s="4" t="s">
        <v>34</v>
      </c>
      <c r="W45" s="4" t="s">
        <v>114</v>
      </c>
      <c r="X45" s="9" t="s">
        <v>34</v>
      </c>
      <c r="Y45" s="9" t="s">
        <v>114</v>
      </c>
      <c r="Z45" s="4"/>
      <c r="AA45" s="4"/>
      <c r="AB45" s="9"/>
      <c r="AC45" s="9"/>
      <c r="AD45" s="41" t="s">
        <v>41</v>
      </c>
      <c r="AE45" s="41" t="s">
        <v>115</v>
      </c>
      <c r="AF45" s="43" t="s">
        <v>41</v>
      </c>
      <c r="AG45" s="43" t="s">
        <v>115</v>
      </c>
      <c r="AH45" s="41"/>
      <c r="AI45" s="41"/>
      <c r="AJ45" s="43"/>
      <c r="AK45" s="43"/>
      <c r="AL45" s="41"/>
      <c r="AM45" s="41"/>
      <c r="AN45" s="43"/>
      <c r="AO45" s="43"/>
      <c r="AP45" s="22">
        <f t="shared" si="0"/>
        <v>5</v>
      </c>
    </row>
    <row r="46" spans="1:103" ht="15.75" customHeight="1" x14ac:dyDescent="0.25">
      <c r="A46">
        <v>405</v>
      </c>
      <c r="B46" t="s">
        <v>367</v>
      </c>
      <c r="C46" t="s">
        <v>342</v>
      </c>
      <c r="D46" t="s">
        <v>169</v>
      </c>
      <c r="E46" t="s">
        <v>170</v>
      </c>
      <c r="F46" s="4"/>
      <c r="G46" s="4"/>
      <c r="H46" s="9"/>
      <c r="I46" s="9"/>
      <c r="J46" s="4"/>
      <c r="K46" s="4"/>
      <c r="L46" s="9"/>
      <c r="M46" s="9"/>
      <c r="N46" s="4"/>
      <c r="O46" s="4"/>
      <c r="P46" s="52"/>
      <c r="Q46" s="52"/>
      <c r="R46" s="4"/>
      <c r="S46" s="4"/>
      <c r="T46" s="9"/>
      <c r="U46" s="9"/>
      <c r="V46" s="4"/>
      <c r="W46" s="4"/>
      <c r="X46" s="9" t="s">
        <v>192</v>
      </c>
      <c r="Y46" s="9" t="s">
        <v>114</v>
      </c>
      <c r="Z46" s="4" t="s">
        <v>192</v>
      </c>
      <c r="AA46" s="4" t="s">
        <v>114</v>
      </c>
      <c r="AB46" s="9"/>
      <c r="AC46" s="9"/>
      <c r="AD46" s="41"/>
      <c r="AE46" s="41"/>
      <c r="AF46" s="43"/>
      <c r="AG46" s="43"/>
      <c r="AH46" s="41" t="s">
        <v>41</v>
      </c>
      <c r="AI46" s="41" t="s">
        <v>114</v>
      </c>
      <c r="AJ46" s="43" t="s">
        <v>41</v>
      </c>
      <c r="AK46" s="43" t="s">
        <v>114</v>
      </c>
      <c r="AL46" s="41"/>
      <c r="AM46" s="41"/>
      <c r="AN46" s="43"/>
      <c r="AO46" s="43"/>
      <c r="AP46" s="22">
        <f t="shared" si="0"/>
        <v>4</v>
      </c>
    </row>
    <row r="47" spans="1:103" ht="15.75" customHeight="1" x14ac:dyDescent="0.25">
      <c r="A47">
        <v>540</v>
      </c>
      <c r="B47" t="s">
        <v>368</v>
      </c>
      <c r="C47" t="s">
        <v>369</v>
      </c>
      <c r="D47" t="s">
        <v>173</v>
      </c>
      <c r="E47" t="s">
        <v>174</v>
      </c>
      <c r="F47" s="4"/>
      <c r="G47" s="4"/>
      <c r="H47" s="9"/>
      <c r="I47" s="9"/>
      <c r="J47" s="4"/>
      <c r="K47" s="4"/>
      <c r="L47" s="9"/>
      <c r="M47" s="9"/>
      <c r="N47" s="4"/>
      <c r="O47" s="4"/>
      <c r="P47" s="52"/>
      <c r="Q47" s="52"/>
      <c r="R47" s="4"/>
      <c r="S47" s="4"/>
      <c r="T47" s="9"/>
      <c r="U47" s="9"/>
      <c r="V47" s="4"/>
      <c r="W47" s="4"/>
      <c r="X47" s="9"/>
      <c r="Y47" s="9"/>
      <c r="Z47" s="4" t="s">
        <v>34</v>
      </c>
      <c r="AA47" s="4" t="s">
        <v>114</v>
      </c>
      <c r="AB47" s="9" t="s">
        <v>7</v>
      </c>
      <c r="AC47" s="9" t="s">
        <v>115</v>
      </c>
      <c r="AD47" s="41" t="s">
        <v>7</v>
      </c>
      <c r="AE47" s="41" t="s">
        <v>115</v>
      </c>
      <c r="AF47" s="43"/>
      <c r="AG47" s="43"/>
      <c r="AH47" s="41" t="s">
        <v>41</v>
      </c>
      <c r="AI47" s="41" t="s">
        <v>115</v>
      </c>
      <c r="AJ47" s="43"/>
      <c r="AK47" s="43"/>
      <c r="AL47" s="41"/>
      <c r="AM47" s="41"/>
      <c r="AN47" s="43"/>
      <c r="AO47" s="43"/>
      <c r="AP47" s="22">
        <f t="shared" si="0"/>
        <v>4</v>
      </c>
    </row>
    <row r="48" spans="1:103" ht="15.75" customHeight="1" x14ac:dyDescent="0.25">
      <c r="A48">
        <v>56</v>
      </c>
      <c r="B48" t="s">
        <v>370</v>
      </c>
      <c r="C48" t="s">
        <v>371</v>
      </c>
      <c r="D48" t="s">
        <v>163</v>
      </c>
      <c r="E48" t="s">
        <v>164</v>
      </c>
      <c r="F48" s="4"/>
      <c r="G48" s="4"/>
      <c r="H48" s="9"/>
      <c r="I48" s="9"/>
      <c r="J48" s="4" t="s">
        <v>198</v>
      </c>
      <c r="K48" s="4" t="s">
        <v>114</v>
      </c>
      <c r="L48" s="9" t="s">
        <v>198</v>
      </c>
      <c r="M48" s="9" t="s">
        <v>114</v>
      </c>
      <c r="N48" s="4"/>
      <c r="O48" s="4"/>
      <c r="P48" s="52"/>
      <c r="Q48" s="52"/>
      <c r="R48" s="4"/>
      <c r="S48" s="4"/>
      <c r="T48" s="9"/>
      <c r="U48" s="9"/>
      <c r="V48" s="4"/>
      <c r="W48" s="4"/>
      <c r="X48" s="9" t="s">
        <v>192</v>
      </c>
      <c r="Y48" s="9" t="s">
        <v>115</v>
      </c>
      <c r="Z48" s="4" t="s">
        <v>192</v>
      </c>
      <c r="AA48" s="4" t="s">
        <v>115</v>
      </c>
      <c r="AB48" s="9"/>
      <c r="AC48" s="9"/>
      <c r="AD48" s="41"/>
      <c r="AE48" s="41"/>
      <c r="AF48" s="43"/>
      <c r="AG48" s="43"/>
      <c r="AH48" s="41"/>
      <c r="AI48" s="41"/>
      <c r="AJ48" s="43"/>
      <c r="AK48" s="43"/>
      <c r="AL48" s="41"/>
      <c r="AM48" s="41"/>
      <c r="AN48" s="43"/>
      <c r="AO48" s="43"/>
      <c r="AP48" s="22">
        <f t="shared" si="0"/>
        <v>4</v>
      </c>
    </row>
    <row r="49" spans="1:103" s="16" customFormat="1" ht="15.75" customHeight="1" x14ac:dyDescent="0.25">
      <c r="A49">
        <v>499</v>
      </c>
      <c r="B49" t="s">
        <v>372</v>
      </c>
      <c r="C49" t="s">
        <v>249</v>
      </c>
      <c r="D49" t="s">
        <v>168</v>
      </c>
      <c r="E49" t="s">
        <v>244</v>
      </c>
      <c r="F49" s="4"/>
      <c r="G49" s="4"/>
      <c r="H49" s="9"/>
      <c r="I49" s="9"/>
      <c r="J49" s="12"/>
      <c r="K49" s="12"/>
      <c r="L49" s="9"/>
      <c r="M49" s="9"/>
      <c r="N49" s="4"/>
      <c r="O49" s="4"/>
      <c r="P49" s="52"/>
      <c r="Q49" s="52"/>
      <c r="R49" s="69" t="s">
        <v>41</v>
      </c>
      <c r="S49" s="69" t="s">
        <v>115</v>
      </c>
      <c r="T49" s="12"/>
      <c r="U49" s="12"/>
      <c r="V49" s="12"/>
      <c r="W49" s="12"/>
      <c r="X49" s="10" t="s">
        <v>63</v>
      </c>
      <c r="Y49" s="10" t="s">
        <v>114</v>
      </c>
      <c r="Z49" s="64"/>
      <c r="AA49" s="64"/>
      <c r="AB49" s="64"/>
      <c r="AC49" s="64"/>
      <c r="AD49" s="59"/>
      <c r="AE49" s="59"/>
      <c r="AF49" s="77" t="s">
        <v>63</v>
      </c>
      <c r="AG49" s="77" t="s">
        <v>114</v>
      </c>
      <c r="AH49" s="61"/>
      <c r="AI49" s="61"/>
      <c r="AJ49" s="61" t="s">
        <v>63</v>
      </c>
      <c r="AK49" s="61" t="s">
        <v>114</v>
      </c>
      <c r="AL49" s="41"/>
      <c r="AM49" s="41"/>
      <c r="AN49" s="43"/>
      <c r="AO49" s="43"/>
      <c r="AP49" s="22">
        <f t="shared" si="0"/>
        <v>4</v>
      </c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</row>
    <row r="50" spans="1:103" ht="15.75" customHeight="1" x14ac:dyDescent="0.25">
      <c r="A50">
        <v>50</v>
      </c>
      <c r="B50" t="s">
        <v>373</v>
      </c>
      <c r="C50" t="s">
        <v>374</v>
      </c>
      <c r="D50" t="s">
        <v>150</v>
      </c>
      <c r="E50" t="s">
        <v>151</v>
      </c>
      <c r="F50" s="4"/>
      <c r="G50" s="4"/>
      <c r="H50" s="9"/>
      <c r="I50" s="9"/>
      <c r="J50" s="12"/>
      <c r="K50" s="12"/>
      <c r="L50" s="12"/>
      <c r="M50" s="12"/>
      <c r="N50" s="4"/>
      <c r="O50" s="4"/>
      <c r="P50" s="52"/>
      <c r="Q50" s="52"/>
      <c r="R50" s="4"/>
      <c r="S50" s="4"/>
      <c r="T50" s="9"/>
      <c r="U50" s="9"/>
      <c r="V50" s="73" t="s">
        <v>143</v>
      </c>
      <c r="W50" s="73" t="s">
        <v>114</v>
      </c>
      <c r="X50" s="9"/>
      <c r="Y50" s="9"/>
      <c r="Z50" s="4"/>
      <c r="AA50" s="4"/>
      <c r="AB50" s="9" t="s">
        <v>192</v>
      </c>
      <c r="AC50" s="9" t="s">
        <v>114</v>
      </c>
      <c r="AD50" s="41" t="s">
        <v>192</v>
      </c>
      <c r="AE50" s="41" t="s">
        <v>114</v>
      </c>
      <c r="AF50" s="43"/>
      <c r="AG50" s="43"/>
      <c r="AH50" s="41"/>
      <c r="AI50" s="41"/>
      <c r="AJ50" s="74" t="s">
        <v>221</v>
      </c>
      <c r="AK50" s="74" t="s">
        <v>114</v>
      </c>
      <c r="AL50" s="41"/>
      <c r="AM50" s="41"/>
      <c r="AN50" s="43"/>
      <c r="AO50" s="43"/>
      <c r="AP50" s="22">
        <f t="shared" si="0"/>
        <v>4</v>
      </c>
    </row>
    <row r="51" spans="1:103" ht="15.75" customHeight="1" x14ac:dyDescent="0.25">
      <c r="A51">
        <v>301</v>
      </c>
      <c r="B51" t="s">
        <v>375</v>
      </c>
      <c r="C51" t="s">
        <v>342</v>
      </c>
      <c r="D51" t="s">
        <v>80</v>
      </c>
      <c r="E51" t="s">
        <v>62</v>
      </c>
      <c r="F51" s="4"/>
      <c r="G51" s="4"/>
      <c r="H51" s="9"/>
      <c r="I51" s="9"/>
      <c r="J51" s="4"/>
      <c r="K51" s="4"/>
      <c r="L51" s="9"/>
      <c r="M51" s="9"/>
      <c r="N51" s="4" t="s">
        <v>198</v>
      </c>
      <c r="O51" s="4" t="s">
        <v>114</v>
      </c>
      <c r="P51" s="52" t="s">
        <v>198</v>
      </c>
      <c r="Q51" s="52" t="s">
        <v>114</v>
      </c>
      <c r="R51" s="4"/>
      <c r="S51" s="4"/>
      <c r="T51" s="9"/>
      <c r="U51" s="9"/>
      <c r="V51" s="4"/>
      <c r="W51" s="4"/>
      <c r="X51" s="9"/>
      <c r="Y51" s="9"/>
      <c r="Z51" s="4"/>
      <c r="AA51" s="4"/>
      <c r="AB51" s="9" t="s">
        <v>192</v>
      </c>
      <c r="AC51" s="9" t="s">
        <v>115</v>
      </c>
      <c r="AD51" s="41" t="s">
        <v>192</v>
      </c>
      <c r="AE51" s="41" t="s">
        <v>115</v>
      </c>
      <c r="AF51" s="43"/>
      <c r="AG51" s="43"/>
      <c r="AH51" s="41"/>
      <c r="AI51" s="41"/>
      <c r="AJ51" s="43"/>
      <c r="AK51" s="43"/>
      <c r="AL51" s="41"/>
      <c r="AM51" s="41"/>
      <c r="AN51" s="43"/>
      <c r="AO51" s="43"/>
      <c r="AP51" s="22">
        <f t="shared" si="0"/>
        <v>4</v>
      </c>
    </row>
    <row r="52" spans="1:103" ht="15.75" customHeight="1" x14ac:dyDescent="0.25">
      <c r="A52">
        <v>559</v>
      </c>
      <c r="B52" t="s">
        <v>376</v>
      </c>
      <c r="C52" t="s">
        <v>350</v>
      </c>
      <c r="D52" t="s">
        <v>169</v>
      </c>
      <c r="E52" t="s">
        <v>170</v>
      </c>
      <c r="F52" s="4"/>
      <c r="G52" s="4"/>
      <c r="H52" s="9"/>
      <c r="I52" s="9"/>
      <c r="J52" s="4"/>
      <c r="K52" s="4"/>
      <c r="L52" s="9"/>
      <c r="M52" s="9"/>
      <c r="N52" s="64"/>
      <c r="O52" s="64"/>
      <c r="P52" s="65"/>
      <c r="Q52" s="65"/>
      <c r="R52" s="4"/>
      <c r="S52" s="4"/>
      <c r="T52" s="9"/>
      <c r="U52" s="9"/>
      <c r="V52" s="64"/>
      <c r="W52" s="64"/>
      <c r="X52" s="64"/>
      <c r="Y52" s="64"/>
      <c r="Z52" s="4"/>
      <c r="AA52" s="4"/>
      <c r="AB52" s="9"/>
      <c r="AC52" s="9"/>
      <c r="AD52" s="61"/>
      <c r="AE52" s="61"/>
      <c r="AF52" s="61"/>
      <c r="AG52" s="61"/>
      <c r="AH52" s="41"/>
      <c r="AI52" s="41"/>
      <c r="AJ52" s="43"/>
      <c r="AK52" s="43"/>
      <c r="AL52" s="41"/>
      <c r="AM52" s="41"/>
      <c r="AN52" s="43"/>
      <c r="AO52" s="43"/>
      <c r="AP52" s="22">
        <f t="shared" si="0"/>
        <v>0</v>
      </c>
    </row>
    <row r="53" spans="1:103" s="22" customFormat="1" ht="15.75" customHeight="1" x14ac:dyDescent="0.25">
      <c r="A53">
        <v>384</v>
      </c>
      <c r="B53" t="s">
        <v>377</v>
      </c>
      <c r="C53" t="s">
        <v>378</v>
      </c>
      <c r="D53" t="s">
        <v>247</v>
      </c>
      <c r="E53" t="s">
        <v>248</v>
      </c>
      <c r="F53" s="4"/>
      <c r="G53" s="4"/>
      <c r="H53" s="9"/>
      <c r="I53" s="9"/>
      <c r="J53" s="4"/>
      <c r="K53" s="4"/>
      <c r="L53" s="9"/>
      <c r="M53" s="9"/>
      <c r="N53" s="4"/>
      <c r="O53" s="4"/>
      <c r="P53" s="52"/>
      <c r="Q53" s="52"/>
      <c r="R53" s="4"/>
      <c r="S53" s="4"/>
      <c r="T53" s="9"/>
      <c r="U53" s="9"/>
      <c r="V53" s="4"/>
      <c r="W53" s="4"/>
      <c r="X53" s="9"/>
      <c r="Y53" s="9"/>
      <c r="Z53" s="4" t="s">
        <v>205</v>
      </c>
      <c r="AA53" s="4" t="s">
        <v>114</v>
      </c>
      <c r="AB53" s="9" t="s">
        <v>205</v>
      </c>
      <c r="AC53" s="9" t="s">
        <v>114</v>
      </c>
      <c r="AD53" s="41"/>
      <c r="AE53" s="41"/>
      <c r="AF53" s="43"/>
      <c r="AG53" s="43"/>
      <c r="AH53" s="41" t="s">
        <v>256</v>
      </c>
      <c r="AI53" s="41" t="s">
        <v>114</v>
      </c>
      <c r="AJ53" s="43" t="s">
        <v>256</v>
      </c>
      <c r="AK53" s="43" t="s">
        <v>114</v>
      </c>
      <c r="AL53" s="41"/>
      <c r="AM53" s="41"/>
      <c r="AN53" s="43"/>
      <c r="AO53" s="43"/>
      <c r="AP53" s="22">
        <f t="shared" si="0"/>
        <v>4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</row>
    <row r="54" spans="1:103" ht="15.75" customHeight="1" x14ac:dyDescent="0.25">
      <c r="A54">
        <v>548</v>
      </c>
      <c r="B54" t="s">
        <v>379</v>
      </c>
      <c r="C54" t="s">
        <v>243</v>
      </c>
      <c r="D54" t="s">
        <v>83</v>
      </c>
      <c r="E54" t="s">
        <v>84</v>
      </c>
      <c r="F54" s="4"/>
      <c r="G54" s="4"/>
      <c r="H54" s="9"/>
      <c r="I54" s="9"/>
      <c r="J54" s="4"/>
      <c r="K54" s="4"/>
      <c r="L54" s="9"/>
      <c r="M54" s="9"/>
      <c r="N54" s="4" t="s">
        <v>198</v>
      </c>
      <c r="O54" s="4" t="s">
        <v>115</v>
      </c>
      <c r="P54" s="52" t="s">
        <v>198</v>
      </c>
      <c r="Q54" s="52" t="s">
        <v>115</v>
      </c>
      <c r="R54" s="4"/>
      <c r="S54" s="4"/>
      <c r="T54" s="9"/>
      <c r="U54" s="9"/>
      <c r="V54" s="12"/>
      <c r="W54" s="12"/>
      <c r="X54" s="9"/>
      <c r="Y54" s="9"/>
      <c r="Z54" s="4" t="s">
        <v>205</v>
      </c>
      <c r="AA54" s="4" t="s">
        <v>115</v>
      </c>
      <c r="AB54" s="12"/>
      <c r="AC54" s="12"/>
      <c r="AD54" s="41"/>
      <c r="AE54" s="41"/>
      <c r="AF54" s="43"/>
      <c r="AG54" s="43"/>
      <c r="AH54" s="41"/>
      <c r="AI54" s="41"/>
      <c r="AJ54" s="43"/>
      <c r="AK54" s="43"/>
      <c r="AL54" s="41"/>
      <c r="AM54" s="41"/>
      <c r="AN54" s="43"/>
      <c r="AO54" s="43"/>
      <c r="AP54" s="22">
        <f t="shared" si="0"/>
        <v>3</v>
      </c>
    </row>
    <row r="55" spans="1:103" ht="15.75" customHeight="1" x14ac:dyDescent="0.25">
      <c r="A55">
        <v>45</v>
      </c>
      <c r="B55" t="s">
        <v>380</v>
      </c>
      <c r="C55" t="s">
        <v>381</v>
      </c>
      <c r="D55" t="s">
        <v>166</v>
      </c>
      <c r="E55" t="s">
        <v>167</v>
      </c>
      <c r="F55" s="4"/>
      <c r="G55" s="4"/>
      <c r="H55" s="9"/>
      <c r="I55" s="9"/>
      <c r="J55" s="4"/>
      <c r="K55" s="4"/>
      <c r="L55" s="9"/>
      <c r="M55" s="9"/>
      <c r="N55" s="66"/>
      <c r="O55" s="66"/>
      <c r="P55" s="52"/>
      <c r="Q55" s="52"/>
      <c r="R55" s="4" t="s">
        <v>198</v>
      </c>
      <c r="S55" s="4" t="s">
        <v>114</v>
      </c>
      <c r="T55" s="9"/>
      <c r="U55" s="9"/>
      <c r="V55" s="75" t="s">
        <v>7</v>
      </c>
      <c r="W55" s="75" t="s">
        <v>114</v>
      </c>
      <c r="X55" s="9"/>
      <c r="Y55" s="9"/>
      <c r="Z55" s="4"/>
      <c r="AA55" s="4"/>
      <c r="AB55" s="9"/>
      <c r="AC55" s="9"/>
      <c r="AD55" s="41" t="s">
        <v>205</v>
      </c>
      <c r="AE55" s="41" t="s">
        <v>114</v>
      </c>
      <c r="AF55" s="43" t="s">
        <v>205</v>
      </c>
      <c r="AG55" s="43" t="s">
        <v>114</v>
      </c>
      <c r="AH55" s="41"/>
      <c r="AI55" s="41"/>
      <c r="AJ55" s="43"/>
      <c r="AK55" s="43"/>
      <c r="AL55" s="41"/>
      <c r="AM55" s="41"/>
      <c r="AN55" s="43"/>
      <c r="AO55" s="43"/>
      <c r="AP55" s="22">
        <f t="shared" si="0"/>
        <v>4</v>
      </c>
    </row>
    <row r="56" spans="1:103" ht="15.75" customHeight="1" x14ac:dyDescent="0.25">
      <c r="A56">
        <v>31</v>
      </c>
      <c r="B56" t="s">
        <v>382</v>
      </c>
      <c r="C56" t="s">
        <v>383</v>
      </c>
      <c r="D56" t="s">
        <v>91</v>
      </c>
      <c r="E56" t="s">
        <v>92</v>
      </c>
      <c r="F56" s="4"/>
      <c r="G56" s="4"/>
      <c r="H56" s="10" t="s">
        <v>202</v>
      </c>
      <c r="I56" s="10" t="s">
        <v>114</v>
      </c>
      <c r="J56" s="4"/>
      <c r="K56" s="4"/>
      <c r="L56" s="9"/>
      <c r="M56" s="9"/>
      <c r="N56" s="4" t="s">
        <v>237</v>
      </c>
      <c r="O56" s="4" t="s">
        <v>114</v>
      </c>
      <c r="P56" s="52"/>
      <c r="Q56" s="52"/>
      <c r="R56" s="4" t="s">
        <v>198</v>
      </c>
      <c r="S56" s="4" t="s">
        <v>115</v>
      </c>
      <c r="T56" s="9"/>
      <c r="U56" s="9"/>
      <c r="V56" s="4"/>
      <c r="W56" s="4"/>
      <c r="X56" s="9"/>
      <c r="Y56" s="9"/>
      <c r="Z56" s="4"/>
      <c r="AA56" s="4"/>
      <c r="AB56" s="9"/>
      <c r="AC56" s="9"/>
      <c r="AD56" s="59"/>
      <c r="AE56" s="59"/>
      <c r="AF56" s="81" t="s">
        <v>194</v>
      </c>
      <c r="AG56" s="81" t="s">
        <v>114</v>
      </c>
      <c r="AH56" s="81" t="s">
        <v>194</v>
      </c>
      <c r="AI56" s="81" t="s">
        <v>114</v>
      </c>
      <c r="AJ56" s="43"/>
      <c r="AK56" s="43"/>
      <c r="AL56" s="42"/>
      <c r="AM56" s="41"/>
      <c r="AN56" s="43"/>
      <c r="AO56" s="43"/>
      <c r="AP56" s="22">
        <f t="shared" si="0"/>
        <v>5</v>
      </c>
    </row>
    <row r="57" spans="1:103" s="17" customFormat="1" ht="15.75" customHeight="1" x14ac:dyDescent="0.25">
      <c r="A57">
        <v>13</v>
      </c>
      <c r="B57" t="s">
        <v>384</v>
      </c>
      <c r="C57" t="s">
        <v>385</v>
      </c>
      <c r="D57" t="s">
        <v>74</v>
      </c>
      <c r="E57" t="s">
        <v>75</v>
      </c>
      <c r="F57" s="4"/>
      <c r="G57" s="4"/>
      <c r="H57" s="9"/>
      <c r="I57" s="9"/>
      <c r="J57" s="4" t="s">
        <v>208</v>
      </c>
      <c r="K57" s="4" t="s">
        <v>115</v>
      </c>
      <c r="L57" s="9" t="s">
        <v>208</v>
      </c>
      <c r="M57" s="9" t="s">
        <v>115</v>
      </c>
      <c r="N57" s="4"/>
      <c r="O57" s="4"/>
      <c r="P57" s="52"/>
      <c r="Q57" s="52"/>
      <c r="R57" s="4"/>
      <c r="S57" s="4"/>
      <c r="T57" s="9"/>
      <c r="U57" s="9"/>
      <c r="V57" s="4"/>
      <c r="W57" s="4"/>
      <c r="X57" s="9"/>
      <c r="Y57" s="9"/>
      <c r="Z57" s="4"/>
      <c r="AA57" s="4"/>
      <c r="AB57" s="9"/>
      <c r="AC57" s="9"/>
      <c r="AD57" s="41"/>
      <c r="AE57" s="41"/>
      <c r="AF57" s="43"/>
      <c r="AG57" s="43"/>
      <c r="AH57" s="41" t="s">
        <v>205</v>
      </c>
      <c r="AI57" s="41" t="s">
        <v>114</v>
      </c>
      <c r="AJ57" s="43" t="s">
        <v>205</v>
      </c>
      <c r="AK57" s="43" t="s">
        <v>114</v>
      </c>
      <c r="AL57" s="41"/>
      <c r="AM57" s="41"/>
      <c r="AN57" s="43"/>
      <c r="AO57" s="43"/>
      <c r="AP57" s="22">
        <f t="shared" si="0"/>
        <v>4</v>
      </c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</row>
    <row r="58" spans="1:103" ht="15.75" customHeight="1" x14ac:dyDescent="0.25">
      <c r="A58">
        <v>15</v>
      </c>
      <c r="B58" t="s">
        <v>386</v>
      </c>
      <c r="C58" t="s">
        <v>387</v>
      </c>
      <c r="D58" t="s">
        <v>70</v>
      </c>
      <c r="E58" t="s">
        <v>71</v>
      </c>
      <c r="F58" s="12"/>
      <c r="G58" s="12"/>
      <c r="H58" s="66"/>
      <c r="I58" s="66"/>
      <c r="J58" s="4"/>
      <c r="K58" s="4"/>
      <c r="L58" s="9"/>
      <c r="M58" s="9"/>
      <c r="N58" s="4"/>
      <c r="O58" s="4"/>
      <c r="P58" s="52"/>
      <c r="Q58" s="52"/>
      <c r="R58" s="4"/>
      <c r="S58" s="4"/>
      <c r="T58" s="12"/>
      <c r="U58" s="12"/>
      <c r="V58" s="4"/>
      <c r="W58" s="4"/>
      <c r="X58" s="9"/>
      <c r="Y58" s="9"/>
      <c r="Z58" s="4"/>
      <c r="AA58" s="4"/>
      <c r="AB58" s="9"/>
      <c r="AC58" s="9"/>
      <c r="AD58" s="81" t="s">
        <v>128</v>
      </c>
      <c r="AE58" s="81" t="s">
        <v>115</v>
      </c>
      <c r="AF58" s="81" t="s">
        <v>128</v>
      </c>
      <c r="AG58" s="81" t="s">
        <v>115</v>
      </c>
      <c r="AH58" s="41" t="s">
        <v>205</v>
      </c>
      <c r="AI58" s="41" t="s">
        <v>115</v>
      </c>
      <c r="AJ58" s="43" t="s">
        <v>205</v>
      </c>
      <c r="AK58" s="43" t="s">
        <v>115</v>
      </c>
      <c r="AL58" s="41"/>
      <c r="AM58" s="41"/>
      <c r="AN58" s="43"/>
      <c r="AO58" s="43"/>
      <c r="AP58" s="22">
        <f t="shared" si="0"/>
        <v>4</v>
      </c>
    </row>
    <row r="59" spans="1:103" ht="15.75" customHeight="1" x14ac:dyDescent="0.25">
      <c r="A59">
        <v>304</v>
      </c>
      <c r="B59" t="s">
        <v>388</v>
      </c>
      <c r="C59" t="s">
        <v>389</v>
      </c>
      <c r="D59" t="s">
        <v>159</v>
      </c>
      <c r="E59" t="s">
        <v>160</v>
      </c>
      <c r="F59" s="4"/>
      <c r="G59" s="4"/>
      <c r="H59" s="12"/>
      <c r="I59" s="12"/>
      <c r="J59" s="4" t="s">
        <v>208</v>
      </c>
      <c r="K59" s="4" t="s">
        <v>114</v>
      </c>
      <c r="L59" s="9" t="s">
        <v>208</v>
      </c>
      <c r="M59" s="9" t="s">
        <v>114</v>
      </c>
      <c r="N59" s="4"/>
      <c r="O59" s="4"/>
      <c r="P59" s="52"/>
      <c r="Q59" s="52"/>
      <c r="R59" s="4"/>
      <c r="S59" s="4"/>
      <c r="T59" s="9"/>
      <c r="U59" s="9"/>
      <c r="V59" s="83" t="s">
        <v>192</v>
      </c>
      <c r="W59" s="83" t="s">
        <v>115</v>
      </c>
      <c r="X59" s="9"/>
      <c r="Y59" s="9"/>
      <c r="Z59" s="4"/>
      <c r="AA59" s="4"/>
      <c r="AB59" s="9"/>
      <c r="AC59" s="9"/>
      <c r="AD59" s="41"/>
      <c r="AE59" s="41"/>
      <c r="AF59" s="43"/>
      <c r="AG59" s="43"/>
      <c r="AH59" s="41" t="s">
        <v>260</v>
      </c>
      <c r="AI59" s="41" t="s">
        <v>114</v>
      </c>
      <c r="AJ59" s="43" t="s">
        <v>260</v>
      </c>
      <c r="AK59" s="43" t="s">
        <v>114</v>
      </c>
      <c r="AL59" s="41"/>
      <c r="AM59" s="41"/>
      <c r="AN59" s="43"/>
      <c r="AO59" s="43"/>
      <c r="AP59" s="22">
        <f t="shared" si="0"/>
        <v>5</v>
      </c>
    </row>
    <row r="60" spans="1:103" ht="15.75" customHeight="1" x14ac:dyDescent="0.25">
      <c r="A60">
        <v>296</v>
      </c>
      <c r="B60" t="s">
        <v>390</v>
      </c>
      <c r="C60" t="s">
        <v>378</v>
      </c>
      <c r="D60" t="s">
        <v>87</v>
      </c>
      <c r="E60" t="s">
        <v>88</v>
      </c>
      <c r="F60" s="4" t="s">
        <v>30</v>
      </c>
      <c r="G60" s="4" t="s">
        <v>114</v>
      </c>
      <c r="H60" s="9" t="s">
        <v>30</v>
      </c>
      <c r="I60" s="9" t="s">
        <v>114</v>
      </c>
      <c r="J60" s="4" t="s">
        <v>25</v>
      </c>
      <c r="K60" s="4" t="s">
        <v>115</v>
      </c>
      <c r="L60" s="9"/>
      <c r="M60" s="9"/>
      <c r="N60" s="4"/>
      <c r="O60" s="4"/>
      <c r="P60" s="52"/>
      <c r="Q60" s="52"/>
      <c r="R60" s="4"/>
      <c r="S60" s="4"/>
      <c r="T60" s="9" t="s">
        <v>195</v>
      </c>
      <c r="U60" s="9" t="s">
        <v>114</v>
      </c>
      <c r="V60" s="4" t="s">
        <v>195</v>
      </c>
      <c r="W60" s="4" t="s">
        <v>114</v>
      </c>
      <c r="X60" s="9"/>
      <c r="Y60" s="9"/>
      <c r="Z60" s="4"/>
      <c r="AA60" s="4"/>
      <c r="AB60" s="9"/>
      <c r="AC60" s="9"/>
      <c r="AD60" s="41"/>
      <c r="AE60" s="41"/>
      <c r="AF60" s="43"/>
      <c r="AG60" s="43"/>
      <c r="AH60" s="41"/>
      <c r="AI60" s="41"/>
      <c r="AJ60" s="43"/>
      <c r="AK60" s="43"/>
      <c r="AL60" s="41"/>
      <c r="AM60" s="41"/>
      <c r="AN60" s="43"/>
      <c r="AO60" s="43"/>
      <c r="AP60" s="22">
        <f t="shared" si="0"/>
        <v>5</v>
      </c>
    </row>
    <row r="61" spans="1:103" ht="15.75" customHeight="1" x14ac:dyDescent="0.25">
      <c r="A61">
        <v>326</v>
      </c>
      <c r="B61" t="s">
        <v>391</v>
      </c>
      <c r="C61" t="s">
        <v>392</v>
      </c>
      <c r="D61" t="s">
        <v>247</v>
      </c>
      <c r="E61" t="s">
        <v>248</v>
      </c>
      <c r="F61" s="4" t="s">
        <v>223</v>
      </c>
      <c r="G61" s="4" t="s">
        <v>115</v>
      </c>
      <c r="H61" s="9" t="s">
        <v>223</v>
      </c>
      <c r="I61" s="9" t="s">
        <v>115</v>
      </c>
      <c r="J61" s="4"/>
      <c r="K61" s="4"/>
      <c r="L61" s="9"/>
      <c r="M61" s="9"/>
      <c r="N61" s="4"/>
      <c r="O61" s="4"/>
      <c r="P61" s="52"/>
      <c r="Q61" s="52"/>
      <c r="R61" s="4"/>
      <c r="S61" s="4"/>
      <c r="T61" s="9" t="s">
        <v>24</v>
      </c>
      <c r="U61" s="9" t="s">
        <v>114</v>
      </c>
      <c r="V61" s="4" t="s">
        <v>24</v>
      </c>
      <c r="W61" s="4" t="s">
        <v>114</v>
      </c>
      <c r="X61" s="9" t="s">
        <v>24</v>
      </c>
      <c r="Y61" s="9" t="s">
        <v>114</v>
      </c>
      <c r="Z61" s="4"/>
      <c r="AA61" s="4"/>
      <c r="AB61" s="9"/>
      <c r="AC61" s="9"/>
      <c r="AD61" s="41"/>
      <c r="AE61" s="41"/>
      <c r="AF61" s="43"/>
      <c r="AG61" s="43"/>
      <c r="AH61" s="41"/>
      <c r="AI61" s="41"/>
      <c r="AJ61" s="43"/>
      <c r="AK61" s="43"/>
      <c r="AL61" s="41"/>
      <c r="AM61" s="41"/>
      <c r="AN61" s="43"/>
      <c r="AO61" s="43"/>
      <c r="AP61" s="22">
        <f t="shared" si="0"/>
        <v>5</v>
      </c>
    </row>
    <row r="62" spans="1:103" ht="15.75" customHeight="1" x14ac:dyDescent="0.25">
      <c r="A62">
        <v>507</v>
      </c>
      <c r="B62" t="s">
        <v>393</v>
      </c>
      <c r="C62" t="s">
        <v>394</v>
      </c>
      <c r="D62" t="s">
        <v>209</v>
      </c>
      <c r="E62" t="s">
        <v>210</v>
      </c>
      <c r="F62" s="4" t="s">
        <v>208</v>
      </c>
      <c r="G62" s="4" t="s">
        <v>114</v>
      </c>
      <c r="H62" s="9" t="s">
        <v>208</v>
      </c>
      <c r="I62" s="9" t="s">
        <v>114</v>
      </c>
      <c r="J62" s="4"/>
      <c r="K62" s="4"/>
      <c r="L62" s="9"/>
      <c r="M62" s="9"/>
      <c r="N62" s="4"/>
      <c r="O62" s="4"/>
      <c r="P62" s="52"/>
      <c r="Q62" s="52"/>
      <c r="R62" s="4"/>
      <c r="S62" s="4"/>
      <c r="T62" s="9"/>
      <c r="U62" s="9"/>
      <c r="V62" s="4"/>
      <c r="W62" s="4"/>
      <c r="X62" s="9"/>
      <c r="Y62" s="9"/>
      <c r="Z62" s="4"/>
      <c r="AA62" s="4"/>
      <c r="AB62" s="9"/>
      <c r="AC62" s="9"/>
      <c r="AD62" s="41"/>
      <c r="AE62" s="41"/>
      <c r="AF62" s="43" t="s">
        <v>260</v>
      </c>
      <c r="AG62" s="43" t="s">
        <v>114</v>
      </c>
      <c r="AH62" s="41"/>
      <c r="AI62" s="41"/>
      <c r="AJ62" s="43" t="s">
        <v>194</v>
      </c>
      <c r="AK62" s="43" t="s">
        <v>114</v>
      </c>
      <c r="AL62" s="41"/>
      <c r="AM62" s="41"/>
      <c r="AN62" s="43"/>
      <c r="AO62" s="43"/>
      <c r="AP62" s="22">
        <f t="shared" si="0"/>
        <v>4</v>
      </c>
    </row>
    <row r="63" spans="1:103" ht="15.75" customHeight="1" x14ac:dyDescent="0.25">
      <c r="A63">
        <v>386</v>
      </c>
      <c r="B63" t="s">
        <v>395</v>
      </c>
      <c r="C63" t="s">
        <v>396</v>
      </c>
      <c r="D63" t="s">
        <v>74</v>
      </c>
      <c r="E63" t="s">
        <v>75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60"/>
      <c r="Q63" s="60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59"/>
      <c r="AE63" s="59"/>
      <c r="AF63" s="59"/>
      <c r="AG63" s="59"/>
      <c r="AH63" s="59"/>
      <c r="AI63" s="59"/>
      <c r="AJ63" s="59"/>
      <c r="AK63" s="59"/>
      <c r="AL63" s="41"/>
      <c r="AM63" s="41"/>
      <c r="AN63" s="43"/>
      <c r="AO63" s="43"/>
      <c r="AP63" s="22">
        <f t="shared" si="0"/>
        <v>0</v>
      </c>
    </row>
    <row r="64" spans="1:103" ht="15.75" customHeight="1" x14ac:dyDescent="0.25">
      <c r="A64">
        <v>485</v>
      </c>
      <c r="B64" t="s">
        <v>397</v>
      </c>
      <c r="C64" t="s">
        <v>398</v>
      </c>
      <c r="D64" t="s">
        <v>150</v>
      </c>
      <c r="E64" t="s">
        <v>151</v>
      </c>
      <c r="F64" s="10" t="s">
        <v>202</v>
      </c>
      <c r="G64" s="10" t="s">
        <v>114</v>
      </c>
      <c r="H64" s="12"/>
      <c r="I64" s="12"/>
      <c r="J64" s="12"/>
      <c r="K64" s="12"/>
      <c r="L64" s="72"/>
      <c r="M64" s="72"/>
      <c r="N64" s="12"/>
      <c r="O64" s="12"/>
      <c r="P64" s="52"/>
      <c r="Q64" s="52"/>
      <c r="R64" s="12"/>
      <c r="S64" s="12"/>
      <c r="T64" s="9" t="s">
        <v>143</v>
      </c>
      <c r="U64" s="9" t="s">
        <v>114</v>
      </c>
      <c r="V64" s="12"/>
      <c r="W64" s="12"/>
      <c r="X64" s="9"/>
      <c r="Y64" s="9"/>
      <c r="Z64" s="4"/>
      <c r="AA64" s="4"/>
      <c r="AB64" s="12"/>
      <c r="AC64" s="12"/>
      <c r="AD64" s="41"/>
      <c r="AE64" s="41"/>
      <c r="AF64" s="59"/>
      <c r="AG64" s="59"/>
      <c r="AH64" s="41" t="s">
        <v>221</v>
      </c>
      <c r="AI64" s="41" t="s">
        <v>114</v>
      </c>
      <c r="AJ64" s="59"/>
      <c r="AK64" s="59"/>
      <c r="AL64" s="41"/>
      <c r="AM64" s="41"/>
      <c r="AN64" s="43"/>
      <c r="AO64" s="43"/>
      <c r="AP64" s="22">
        <f t="shared" si="0"/>
        <v>3</v>
      </c>
    </row>
    <row r="65" spans="1:103" ht="15.75" customHeight="1" x14ac:dyDescent="0.25">
      <c r="A65">
        <v>39</v>
      </c>
      <c r="B65" t="s">
        <v>399</v>
      </c>
      <c r="C65" t="s">
        <v>400</v>
      </c>
      <c r="D65" t="s">
        <v>153</v>
      </c>
      <c r="E65" t="s">
        <v>154</v>
      </c>
      <c r="F65" s="4" t="s">
        <v>237</v>
      </c>
      <c r="G65" s="4" t="s">
        <v>114</v>
      </c>
      <c r="H65" s="9" t="s">
        <v>237</v>
      </c>
      <c r="I65" s="9" t="s">
        <v>114</v>
      </c>
      <c r="J65" s="4"/>
      <c r="K65" s="4"/>
      <c r="L65" s="9"/>
      <c r="M65" s="9"/>
      <c r="N65" s="4"/>
      <c r="O65" s="4"/>
      <c r="P65" s="52"/>
      <c r="Q65" s="52"/>
      <c r="R65" s="4"/>
      <c r="S65" s="4"/>
      <c r="T65" s="9"/>
      <c r="U65" s="9"/>
      <c r="V65" s="4"/>
      <c r="W65" s="4"/>
      <c r="X65" s="9"/>
      <c r="Y65" s="9"/>
      <c r="Z65" s="4"/>
      <c r="AA65" s="4"/>
      <c r="AB65" s="9"/>
      <c r="AC65" s="9"/>
      <c r="AD65" s="41"/>
      <c r="AE65" s="41"/>
      <c r="AF65" s="43"/>
      <c r="AG65" s="43"/>
      <c r="AH65" s="41" t="s">
        <v>221</v>
      </c>
      <c r="AI65" s="41" t="s">
        <v>115</v>
      </c>
      <c r="AJ65" s="43" t="s">
        <v>221</v>
      </c>
      <c r="AK65" s="43" t="s">
        <v>115</v>
      </c>
      <c r="AL65" s="41"/>
      <c r="AM65" s="41"/>
      <c r="AN65" s="43"/>
      <c r="AO65" s="43"/>
      <c r="AP65" s="22">
        <f t="shared" ref="AP65:AP72" si="1">COUNTA(F65,H65,J65,L65,N65,P65,R65,T65,V65,X65,Z65,AB65,AD65,AF65,AH65,AJ65,AL65,AN65)</f>
        <v>4</v>
      </c>
    </row>
    <row r="66" spans="1:103" x14ac:dyDescent="0.25">
      <c r="A66">
        <v>328</v>
      </c>
      <c r="B66" t="s">
        <v>401</v>
      </c>
      <c r="C66" t="s">
        <v>402</v>
      </c>
      <c r="D66" t="s">
        <v>181</v>
      </c>
      <c r="E66" t="s">
        <v>182</v>
      </c>
      <c r="F66" s="4"/>
      <c r="G66" s="4"/>
      <c r="H66" s="9"/>
      <c r="I66" s="9"/>
      <c r="J66" s="4" t="s">
        <v>30</v>
      </c>
      <c r="K66" s="4" t="s">
        <v>114</v>
      </c>
      <c r="L66" s="9" t="s">
        <v>30</v>
      </c>
      <c r="M66" s="9" t="s">
        <v>114</v>
      </c>
      <c r="N66" s="4"/>
      <c r="O66" s="4"/>
      <c r="P66" s="52" t="s">
        <v>195</v>
      </c>
      <c r="Q66" s="52" t="s">
        <v>114</v>
      </c>
      <c r="R66" s="4" t="s">
        <v>195</v>
      </c>
      <c r="S66" s="4" t="s">
        <v>114</v>
      </c>
      <c r="T66" s="9"/>
      <c r="U66" s="9"/>
      <c r="V66" s="4"/>
      <c r="W66" s="4"/>
      <c r="X66" s="9"/>
      <c r="Y66" s="9"/>
      <c r="Z66" s="4"/>
      <c r="AA66" s="4"/>
      <c r="AB66" s="9"/>
      <c r="AC66" s="9"/>
      <c r="AD66" s="41"/>
      <c r="AE66" s="41"/>
      <c r="AF66" s="43"/>
      <c r="AG66" s="43"/>
      <c r="AH66" s="41"/>
      <c r="AI66" s="41"/>
      <c r="AJ66" s="43"/>
      <c r="AK66" s="43"/>
      <c r="AL66" s="41"/>
      <c r="AM66" s="41"/>
      <c r="AN66" s="43"/>
      <c r="AO66" s="43"/>
      <c r="AP66" s="22">
        <f t="shared" si="1"/>
        <v>4</v>
      </c>
    </row>
    <row r="67" spans="1:103" s="22" customFormat="1" x14ac:dyDescent="0.25">
      <c r="A67">
        <v>231</v>
      </c>
      <c r="B67" t="s">
        <v>403</v>
      </c>
      <c r="C67" t="s">
        <v>90</v>
      </c>
      <c r="D67" t="s">
        <v>177</v>
      </c>
      <c r="E67" t="s">
        <v>178</v>
      </c>
      <c r="F67" s="4" t="s">
        <v>237</v>
      </c>
      <c r="G67" s="4" t="s">
        <v>115</v>
      </c>
      <c r="H67" s="9" t="s">
        <v>237</v>
      </c>
      <c r="I67" s="9" t="s">
        <v>115</v>
      </c>
      <c r="J67" s="4"/>
      <c r="K67" s="4"/>
      <c r="L67" s="9"/>
      <c r="M67" s="9"/>
      <c r="N67" s="4"/>
      <c r="O67" s="4"/>
      <c r="P67" s="52"/>
      <c r="Q67" s="52"/>
      <c r="R67" s="4"/>
      <c r="S67" s="4"/>
      <c r="T67" s="9"/>
      <c r="U67" s="9"/>
      <c r="V67" s="4"/>
      <c r="W67" s="4"/>
      <c r="X67" s="9"/>
      <c r="Y67" s="9"/>
      <c r="Z67" s="4"/>
      <c r="AA67" s="4"/>
      <c r="AB67" s="9"/>
      <c r="AC67" s="9"/>
      <c r="AD67" s="81" t="s">
        <v>205</v>
      </c>
      <c r="AE67" s="81" t="s">
        <v>115</v>
      </c>
      <c r="AF67" s="81" t="s">
        <v>205</v>
      </c>
      <c r="AG67" s="81" t="s">
        <v>115</v>
      </c>
      <c r="AH67" s="59"/>
      <c r="AI67" s="59"/>
      <c r="AJ67" s="43"/>
      <c r="AK67" s="43"/>
      <c r="AL67" s="41"/>
      <c r="AM67" s="41"/>
      <c r="AN67" s="43"/>
      <c r="AO67" s="43"/>
      <c r="AP67" s="22">
        <f t="shared" si="1"/>
        <v>4</v>
      </c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</row>
    <row r="68" spans="1:103" x14ac:dyDescent="0.25">
      <c r="A68">
        <v>558</v>
      </c>
      <c r="B68" t="s">
        <v>404</v>
      </c>
      <c r="C68" t="s">
        <v>405</v>
      </c>
      <c r="D68" t="s">
        <v>161</v>
      </c>
      <c r="E68" t="s">
        <v>162</v>
      </c>
      <c r="F68" s="4" t="s">
        <v>223</v>
      </c>
      <c r="G68" s="4" t="s">
        <v>114</v>
      </c>
      <c r="H68" s="9" t="s">
        <v>223</v>
      </c>
      <c r="I68" s="9" t="s">
        <v>114</v>
      </c>
      <c r="J68" s="75" t="s">
        <v>223</v>
      </c>
      <c r="K68" s="75" t="s">
        <v>114</v>
      </c>
      <c r="L68" s="75" t="s">
        <v>223</v>
      </c>
      <c r="M68" s="75" t="s">
        <v>114</v>
      </c>
      <c r="N68" s="4" t="s">
        <v>194</v>
      </c>
      <c r="O68" s="4" t="s">
        <v>114</v>
      </c>
      <c r="P68" s="52"/>
      <c r="Q68" s="52"/>
      <c r="R68" s="4"/>
      <c r="S68" s="4"/>
      <c r="T68" s="9"/>
      <c r="U68" s="9"/>
      <c r="V68" s="4"/>
      <c r="W68" s="4"/>
      <c r="X68" s="9"/>
      <c r="Y68" s="9"/>
      <c r="Z68" s="4"/>
      <c r="AA68" s="4"/>
      <c r="AB68" s="9"/>
      <c r="AC68" s="9"/>
      <c r="AD68" s="41"/>
      <c r="AE68" s="41"/>
      <c r="AF68" s="43"/>
      <c r="AG68" s="43"/>
      <c r="AH68" s="41"/>
      <c r="AI68" s="41"/>
      <c r="AJ68" s="43"/>
      <c r="AK68" s="43"/>
      <c r="AL68" s="41"/>
      <c r="AM68" s="41"/>
      <c r="AN68" s="43"/>
      <c r="AO68" s="43"/>
      <c r="AP68" s="22">
        <f t="shared" si="1"/>
        <v>5</v>
      </c>
    </row>
    <row r="69" spans="1:103" x14ac:dyDescent="0.25">
      <c r="A69">
        <v>427</v>
      </c>
      <c r="B69" t="s">
        <v>406</v>
      </c>
      <c r="C69" t="s">
        <v>243</v>
      </c>
      <c r="D69" t="s">
        <v>91</v>
      </c>
      <c r="E69" t="s">
        <v>92</v>
      </c>
      <c r="F69" s="4"/>
      <c r="G69" s="4"/>
      <c r="H69" s="9"/>
      <c r="I69" s="9"/>
      <c r="J69" s="4" t="s">
        <v>237</v>
      </c>
      <c r="K69" s="4" t="s">
        <v>114</v>
      </c>
      <c r="L69" s="9" t="s">
        <v>237</v>
      </c>
      <c r="M69" s="9" t="s">
        <v>114</v>
      </c>
      <c r="N69" s="4" t="s">
        <v>9</v>
      </c>
      <c r="O69" s="4" t="s">
        <v>114</v>
      </c>
      <c r="P69" s="52" t="s">
        <v>9</v>
      </c>
      <c r="Q69" s="52" t="s">
        <v>114</v>
      </c>
      <c r="R69" s="4"/>
      <c r="S69" s="4"/>
      <c r="T69" s="9"/>
      <c r="U69" s="9"/>
      <c r="W69" s="4"/>
      <c r="X69" s="9"/>
      <c r="Y69" s="9"/>
      <c r="Z69" s="4"/>
      <c r="AA69" s="4"/>
      <c r="AB69" s="9"/>
      <c r="AC69" s="9"/>
      <c r="AD69" s="41"/>
      <c r="AE69" s="41"/>
      <c r="AF69" s="43"/>
      <c r="AG69" s="43"/>
      <c r="AH69" s="41"/>
      <c r="AI69" s="41"/>
      <c r="AJ69" s="43"/>
      <c r="AK69" s="43"/>
      <c r="AL69" s="41"/>
      <c r="AM69" s="41"/>
      <c r="AN69" s="43"/>
      <c r="AO69" s="43"/>
      <c r="AP69" s="22">
        <f t="shared" si="1"/>
        <v>4</v>
      </c>
    </row>
    <row r="70" spans="1:103" x14ac:dyDescent="0.25">
      <c r="A70">
        <v>268</v>
      </c>
      <c r="B70" t="s">
        <v>407</v>
      </c>
      <c r="C70" t="s">
        <v>408</v>
      </c>
      <c r="D70" t="s">
        <v>83</v>
      </c>
      <c r="E70" t="s">
        <v>84</v>
      </c>
      <c r="F70" s="12"/>
      <c r="G70" s="12"/>
      <c r="H70" s="12"/>
      <c r="I70" s="12"/>
      <c r="J70" s="4"/>
      <c r="K70" s="4"/>
      <c r="L70" s="9"/>
      <c r="M70" s="9"/>
      <c r="N70" s="4"/>
      <c r="O70" s="4"/>
      <c r="P70" s="52"/>
      <c r="Q70" s="52"/>
      <c r="R70" s="4" t="s">
        <v>9</v>
      </c>
      <c r="S70" s="4" t="s">
        <v>114</v>
      </c>
      <c r="T70" s="9"/>
      <c r="U70" s="9"/>
      <c r="V70" s="4"/>
      <c r="W70" s="4"/>
      <c r="X70" s="66"/>
      <c r="Y70" s="66"/>
      <c r="Z70" s="4"/>
      <c r="AA70" s="4"/>
      <c r="AB70" s="9"/>
      <c r="AC70" s="9"/>
      <c r="AD70" s="41"/>
      <c r="AE70" s="41"/>
      <c r="AF70" s="43"/>
      <c r="AG70" s="43"/>
      <c r="AH70" s="41"/>
      <c r="AI70" s="41"/>
      <c r="AJ70" s="43"/>
      <c r="AK70" s="43"/>
      <c r="AL70" s="41"/>
      <c r="AM70" s="41"/>
      <c r="AN70" s="43"/>
      <c r="AO70" s="43"/>
      <c r="AP70" s="22">
        <f t="shared" si="1"/>
        <v>1</v>
      </c>
    </row>
    <row r="71" spans="1:103" x14ac:dyDescent="0.25">
      <c r="A71">
        <v>504</v>
      </c>
      <c r="B71" t="s">
        <v>409</v>
      </c>
      <c r="C71" t="s">
        <v>410</v>
      </c>
      <c r="D71" t="s">
        <v>177</v>
      </c>
      <c r="E71" t="s">
        <v>178</v>
      </c>
      <c r="F71" s="4"/>
      <c r="G71" s="4"/>
      <c r="H71" s="10" t="s">
        <v>128</v>
      </c>
      <c r="I71" s="10" t="s">
        <v>114</v>
      </c>
      <c r="J71" s="4" t="s">
        <v>237</v>
      </c>
      <c r="K71" s="4" t="s">
        <v>115</v>
      </c>
      <c r="L71" s="9" t="s">
        <v>237</v>
      </c>
      <c r="M71" s="9" t="s">
        <v>115</v>
      </c>
      <c r="N71" s="4"/>
      <c r="O71" s="4"/>
      <c r="P71" s="52"/>
      <c r="Q71" s="52"/>
      <c r="R71" s="4"/>
      <c r="S71" s="4"/>
      <c r="T71" s="12"/>
      <c r="U71" s="12"/>
      <c r="V71" s="12"/>
      <c r="W71" s="12"/>
      <c r="X71" s="10" t="s">
        <v>7</v>
      </c>
      <c r="Y71" s="10" t="s">
        <v>114</v>
      </c>
      <c r="Z71" s="10" t="s">
        <v>7</v>
      </c>
      <c r="AA71" s="10" t="s">
        <v>114</v>
      </c>
      <c r="AB71" s="9"/>
      <c r="AC71" s="9"/>
      <c r="AD71" s="41"/>
      <c r="AE71" s="41"/>
      <c r="AF71" s="43"/>
      <c r="AG71" s="43"/>
      <c r="AH71" s="41"/>
      <c r="AI71" s="41"/>
      <c r="AJ71" s="43"/>
      <c r="AK71" s="43"/>
      <c r="AL71" s="41"/>
      <c r="AM71" s="41"/>
      <c r="AN71" s="43"/>
      <c r="AO71" s="43"/>
      <c r="AP71" s="22">
        <f t="shared" si="1"/>
        <v>5</v>
      </c>
    </row>
    <row r="72" spans="1:103" x14ac:dyDescent="0.25">
      <c r="A72" s="54">
        <v>504</v>
      </c>
      <c r="B72" s="54" t="s">
        <v>245</v>
      </c>
      <c r="C72" s="54" t="s">
        <v>246</v>
      </c>
      <c r="D72" s="54" t="s">
        <v>177</v>
      </c>
      <c r="E72" s="4"/>
      <c r="F72" s="4"/>
      <c r="G72" s="4"/>
      <c r="H72" s="9"/>
      <c r="I72" s="9"/>
      <c r="J72" s="73" t="s">
        <v>198</v>
      </c>
      <c r="K72" s="73" t="s">
        <v>115</v>
      </c>
      <c r="L72" s="75" t="s">
        <v>141</v>
      </c>
      <c r="M72" s="75" t="s">
        <v>114</v>
      </c>
      <c r="N72" s="4"/>
      <c r="O72" s="4"/>
      <c r="P72" s="52"/>
      <c r="Q72" s="52"/>
      <c r="R72" s="4"/>
      <c r="S72" s="4"/>
      <c r="T72" s="75" t="s">
        <v>41</v>
      </c>
      <c r="U72" s="75" t="s">
        <v>115</v>
      </c>
      <c r="V72" s="4"/>
      <c r="W72" s="4"/>
      <c r="X72" s="9"/>
      <c r="Y72" s="9"/>
      <c r="Z72" s="4"/>
      <c r="AA72" s="4"/>
      <c r="AB72" s="9"/>
      <c r="AC72" s="9"/>
      <c r="AD72" s="41"/>
      <c r="AE72" s="41"/>
      <c r="AF72" s="43"/>
      <c r="AG72" s="43"/>
      <c r="AH72" s="41"/>
      <c r="AI72" s="41"/>
      <c r="AJ72" s="43"/>
      <c r="AK72" s="43"/>
      <c r="AL72" s="41"/>
      <c r="AM72" s="41"/>
      <c r="AN72" s="43"/>
      <c r="AO72" s="43"/>
      <c r="AP72" s="22">
        <f t="shared" si="1"/>
        <v>3</v>
      </c>
    </row>
    <row r="73" spans="1:103" x14ac:dyDescent="0.25">
      <c r="A73" s="54"/>
      <c r="B73" s="54"/>
      <c r="C73" s="54"/>
      <c r="D73" s="54"/>
      <c r="E73" s="4"/>
      <c r="F73" s="4"/>
      <c r="G73" s="4"/>
      <c r="H73" s="9"/>
      <c r="I73" s="9"/>
      <c r="J73" s="73"/>
      <c r="K73" s="73"/>
      <c r="L73" s="75"/>
      <c r="M73" s="75"/>
      <c r="N73" s="4"/>
      <c r="O73" s="4"/>
      <c r="P73" s="52"/>
      <c r="Q73" s="52"/>
      <c r="R73" s="4"/>
      <c r="S73" s="4"/>
      <c r="T73" s="75"/>
      <c r="U73" s="75"/>
      <c r="V73" s="4"/>
      <c r="W73" s="4"/>
      <c r="X73" s="9"/>
      <c r="Y73" s="9"/>
      <c r="Z73" s="4"/>
      <c r="AA73" s="4"/>
      <c r="AB73" s="9"/>
      <c r="AC73" s="9"/>
      <c r="AD73" s="41"/>
      <c r="AE73" s="41"/>
      <c r="AF73" s="43"/>
      <c r="AG73" s="43"/>
      <c r="AH73" s="41"/>
      <c r="AI73" s="41"/>
      <c r="AJ73" s="43"/>
      <c r="AK73" s="43"/>
      <c r="AL73" s="41"/>
      <c r="AM73" s="41"/>
      <c r="AN73" s="43"/>
      <c r="AO73" s="43"/>
      <c r="AP73" s="22">
        <f t="shared" ref="AP73" si="2">COUNTA(F73,H73,J73,L73,N73,P73,R73,T73,V73,X73,Z73,AB73,AD73,AF73,AH73,AJ73,AL73,AN73)</f>
        <v>0</v>
      </c>
    </row>
    <row r="74" spans="1:103" x14ac:dyDescent="0.25">
      <c r="A74" s="54"/>
      <c r="B74" s="54"/>
      <c r="C74" s="54"/>
      <c r="D74" s="54"/>
      <c r="E74" s="4"/>
      <c r="F74" s="4"/>
      <c r="G74" s="4"/>
      <c r="H74" s="9"/>
      <c r="I74" s="9"/>
      <c r="J74" s="4"/>
      <c r="K74" s="4"/>
      <c r="L74" s="9"/>
      <c r="M74" s="9"/>
      <c r="N74" s="4"/>
      <c r="O74" s="4"/>
      <c r="P74" s="52"/>
      <c r="Q74" s="52"/>
      <c r="R74" s="4"/>
      <c r="S74" s="4"/>
      <c r="T74" s="9"/>
      <c r="U74" s="9"/>
      <c r="V74" s="4"/>
      <c r="W74" s="4"/>
      <c r="X74" s="9"/>
      <c r="Y74" s="9"/>
      <c r="Z74" s="4"/>
      <c r="AA74" s="4"/>
      <c r="AB74" s="9"/>
      <c r="AC74" s="9"/>
      <c r="AD74" s="41"/>
      <c r="AE74" s="41"/>
      <c r="AF74" s="43"/>
      <c r="AG74" s="43"/>
      <c r="AH74" s="41"/>
      <c r="AI74" s="41"/>
      <c r="AJ74" s="43"/>
      <c r="AK74" s="43"/>
      <c r="AL74" s="41"/>
      <c r="AM74" s="41"/>
      <c r="AN74" s="43"/>
      <c r="AO74" s="43"/>
      <c r="AP74" s="22"/>
    </row>
    <row r="75" spans="1:103" x14ac:dyDescent="0.25">
      <c r="A75" s="28"/>
      <c r="B75" s="56"/>
      <c r="C75" s="28"/>
      <c r="D75" s="28"/>
      <c r="F75" s="4"/>
      <c r="G75" s="4"/>
      <c r="H75" s="9"/>
      <c r="I75" s="9"/>
      <c r="J75" s="4"/>
      <c r="K75" s="4"/>
      <c r="L75" s="9"/>
      <c r="M75" s="9"/>
      <c r="N75" s="4"/>
      <c r="O75" s="4"/>
      <c r="P75" s="52"/>
      <c r="Q75" s="52"/>
      <c r="R75" s="4"/>
      <c r="S75" s="4"/>
      <c r="T75" s="9"/>
      <c r="U75" s="9"/>
      <c r="V75" s="4"/>
      <c r="W75" s="4"/>
      <c r="X75" s="9"/>
      <c r="Y75" s="9"/>
      <c r="Z75" s="4"/>
      <c r="AA75" s="4"/>
      <c r="AB75" s="9"/>
      <c r="AC75" s="9"/>
      <c r="AD75" s="41"/>
      <c r="AE75" s="41"/>
      <c r="AF75" s="43"/>
      <c r="AG75" s="43"/>
      <c r="AH75" s="41"/>
      <c r="AI75" s="41"/>
      <c r="AJ75" s="43"/>
      <c r="AK75" s="43"/>
      <c r="AL75" s="41"/>
      <c r="AM75" s="41"/>
      <c r="AN75" s="43"/>
      <c r="AO75" s="43"/>
      <c r="AP75" s="22"/>
    </row>
    <row r="76" spans="1:103" x14ac:dyDescent="0.25">
      <c r="A76" s="28"/>
      <c r="B76" s="28"/>
      <c r="C76" s="28"/>
      <c r="D76" s="28"/>
      <c r="F76" s="4"/>
      <c r="G76" s="4"/>
      <c r="H76" s="9"/>
      <c r="I76" s="9"/>
      <c r="J76" s="4"/>
      <c r="K76" s="4"/>
      <c r="L76" s="9"/>
      <c r="M76" s="9"/>
      <c r="N76" s="4"/>
      <c r="O76" s="4"/>
      <c r="P76" s="52"/>
      <c r="Q76" s="52"/>
      <c r="R76" s="4"/>
      <c r="S76" s="4"/>
      <c r="T76" s="9"/>
      <c r="U76" s="9"/>
      <c r="V76" s="4"/>
      <c r="W76" s="4"/>
      <c r="X76" s="9"/>
      <c r="Y76" s="9"/>
      <c r="Z76" s="4"/>
      <c r="AA76" s="4"/>
      <c r="AB76" s="9"/>
      <c r="AC76" s="9"/>
      <c r="AD76" s="41"/>
      <c r="AE76" s="41"/>
      <c r="AF76" s="43"/>
      <c r="AG76" s="43"/>
      <c r="AH76" s="41"/>
      <c r="AI76" s="41"/>
      <c r="AJ76" s="43"/>
      <c r="AK76" s="43"/>
      <c r="AL76" s="41"/>
      <c r="AM76" s="41"/>
      <c r="AN76" s="43"/>
      <c r="AO76" s="43"/>
      <c r="AP76" s="22"/>
    </row>
    <row r="77" spans="1:103" x14ac:dyDescent="0.25">
      <c r="A77" s="28"/>
      <c r="B77" s="28"/>
      <c r="C77" s="28"/>
      <c r="D77" s="28"/>
      <c r="F77" s="4"/>
      <c r="G77" s="4"/>
      <c r="H77" s="9"/>
      <c r="I77" s="9"/>
      <c r="J77" s="4"/>
      <c r="K77" s="4"/>
      <c r="L77" s="9"/>
      <c r="M77" s="9"/>
      <c r="N77" s="4"/>
      <c r="O77" s="4"/>
      <c r="P77" s="52"/>
      <c r="Q77" s="52"/>
      <c r="R77" s="4"/>
      <c r="S77" s="4"/>
      <c r="T77" s="9"/>
      <c r="U77" s="9"/>
      <c r="V77" s="4"/>
      <c r="W77" s="4"/>
      <c r="X77" s="9"/>
      <c r="Y77" s="9"/>
      <c r="Z77" s="4"/>
      <c r="AA77" s="4"/>
      <c r="AB77" s="9"/>
      <c r="AC77" s="9"/>
      <c r="AD77" s="41"/>
      <c r="AE77" s="41"/>
      <c r="AF77" s="43"/>
      <c r="AG77" s="43"/>
      <c r="AH77" s="41"/>
      <c r="AI77" s="41"/>
      <c r="AJ77" s="43"/>
      <c r="AK77" s="43"/>
      <c r="AL77" s="41"/>
      <c r="AM77" s="41"/>
      <c r="AN77" s="43"/>
      <c r="AO77" s="43"/>
      <c r="AP77" s="22"/>
    </row>
    <row r="78" spans="1:103" x14ac:dyDescent="0.25">
      <c r="A78" s="28"/>
      <c r="B78" s="28"/>
      <c r="C78" s="28"/>
      <c r="D78" s="28"/>
      <c r="F78" s="4"/>
      <c r="G78" s="4"/>
      <c r="H78" s="9"/>
      <c r="I78" s="9"/>
      <c r="J78" s="4"/>
      <c r="K78" s="4"/>
      <c r="L78" s="9"/>
      <c r="M78" s="9"/>
      <c r="N78" s="4"/>
      <c r="O78" s="4"/>
      <c r="P78" s="52"/>
      <c r="Q78" s="52"/>
      <c r="R78" s="4"/>
      <c r="S78" s="4"/>
      <c r="T78" s="9"/>
      <c r="U78" s="9"/>
      <c r="V78" s="4"/>
      <c r="W78" s="4"/>
      <c r="X78" s="9"/>
      <c r="Y78" s="9"/>
      <c r="Z78" s="4"/>
      <c r="AA78" s="4"/>
      <c r="AB78" s="9"/>
      <c r="AC78" s="9"/>
      <c r="AD78" s="41"/>
      <c r="AE78" s="41"/>
      <c r="AF78" s="43"/>
      <c r="AG78" s="43"/>
      <c r="AH78" s="41"/>
      <c r="AI78" s="41"/>
      <c r="AJ78" s="43"/>
      <c r="AK78" s="43"/>
      <c r="AL78" s="41"/>
      <c r="AM78" s="41"/>
      <c r="AN78" s="43"/>
      <c r="AO78" s="43"/>
      <c r="AP78" s="22"/>
    </row>
    <row r="82" spans="1:6" x14ac:dyDescent="0.25">
      <c r="A82" s="35"/>
      <c r="B82" s="35"/>
      <c r="C82" s="35"/>
      <c r="D82" s="35"/>
      <c r="E82" s="35"/>
      <c r="F82" s="35"/>
    </row>
  </sheetData>
  <mergeCells count="18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D1:AE1"/>
    <mergeCell ref="AF1:AG1"/>
    <mergeCell ref="AH1:AI1"/>
    <mergeCell ref="AJ1:AK1"/>
    <mergeCell ref="AN1:AO1"/>
    <mergeCell ref="AL1:AM1"/>
  </mergeCells>
  <phoneticPr fontId="6" type="noConversion"/>
  <conditionalFormatting sqref="AP1:AP2 AP76:AP1048576">
    <cfRule type="cellIs" dxfId="14" priority="11" operator="lessThan">
      <formula>4</formula>
    </cfRule>
    <cfRule type="cellIs" dxfId="13" priority="12" operator="equal">
      <formula>6</formula>
    </cfRule>
  </conditionalFormatting>
  <conditionalFormatting sqref="AP3:AP78">
    <cfRule type="cellIs" dxfId="12" priority="6" operator="equal">
      <formula>3</formula>
    </cfRule>
    <cfRule type="cellIs" dxfId="11" priority="7" operator="lessThanOrEqual">
      <formula>2</formula>
    </cfRule>
  </conditionalFormatting>
  <conditionalFormatting sqref="AP1:AP1048576">
    <cfRule type="cellIs" dxfId="10" priority="4" operator="greaterThan">
      <formula>5</formula>
    </cfRule>
    <cfRule type="cellIs" dxfId="9" priority="5" operator="lessThanOrEqual">
      <formula>3</formula>
    </cfRule>
  </conditionalFormatting>
  <conditionalFormatting sqref="AP3:AP73">
    <cfRule type="cellIs" dxfId="8" priority="1" operator="equal">
      <formula>5</formula>
    </cfRule>
    <cfRule type="cellIs" dxfId="7" priority="2" operator="equal">
      <formula>3</formula>
    </cfRule>
    <cfRule type="cellIs" dxfId="6" priority="3" operator="greaterThanOrEqual">
      <formula>6</formula>
    </cfRule>
  </conditionalFormatting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Etablissements!$F$1:$F$41</xm:f>
          </x14:formula1>
          <xm:sqref>AR6 AT35 AR35 AL3:AL78 AN3:AN78</xm:sqref>
        </x14:dataValidation>
        <x14:dataValidation type="list" allowBlank="1" showInputMessage="1" showErrorMessage="1" xr:uid="{3522D2E9-C9ED-4440-B226-F5B3C3703B35}">
          <x14:formula1>
            <xm:f>Etablissements!$F$1:$F$43</xm:f>
          </x14:formula1>
          <xm:sqref>AJ3:AJ78 AH3:AH78 AF3:AF78 AD3:AD78 AB3:AB78 Z3:Z78 X3:X78 V3:V78 T3:T78 R3:R78 P3:P78 N3:N78 L3:L78 J3:J78 H3:H78 F3:F78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N18"/>
  <sheetViews>
    <sheetView workbookViewId="0"/>
  </sheetViews>
  <sheetFormatPr baseColWidth="10" defaultRowHeight="15" x14ac:dyDescent="0.25"/>
  <cols>
    <col min="1" max="2" width="13.85546875" customWidth="1"/>
    <col min="6" max="39" width="6.28515625" customWidth="1"/>
  </cols>
  <sheetData>
    <row r="1" spans="1:40" x14ac:dyDescent="0.25">
      <c r="F1" s="92" t="s">
        <v>121</v>
      </c>
      <c r="G1" s="91"/>
      <c r="H1" s="92" t="s">
        <v>122</v>
      </c>
      <c r="I1" s="91"/>
      <c r="J1" s="92" t="s">
        <v>123</v>
      </c>
      <c r="K1" s="91"/>
      <c r="L1" s="92" t="s">
        <v>124</v>
      </c>
      <c r="M1" s="91"/>
      <c r="N1" s="92" t="s">
        <v>44</v>
      </c>
      <c r="O1" s="91"/>
      <c r="P1" s="92" t="s">
        <v>45</v>
      </c>
      <c r="Q1" s="91"/>
      <c r="R1" s="92" t="s">
        <v>46</v>
      </c>
      <c r="S1" s="91"/>
      <c r="T1" s="92" t="s">
        <v>47</v>
      </c>
      <c r="U1" s="91"/>
      <c r="V1" s="92" t="s">
        <v>48</v>
      </c>
      <c r="W1" s="91"/>
      <c r="X1" s="92" t="s">
        <v>49</v>
      </c>
      <c r="Y1" s="91"/>
      <c r="Z1" s="92" t="s">
        <v>50</v>
      </c>
      <c r="AA1" s="91"/>
      <c r="AB1" s="92" t="s">
        <v>51</v>
      </c>
      <c r="AC1" s="91"/>
      <c r="AD1" s="92" t="s">
        <v>125</v>
      </c>
      <c r="AE1" s="91"/>
      <c r="AF1" s="92" t="s">
        <v>52</v>
      </c>
      <c r="AG1" s="91"/>
      <c r="AH1" s="92" t="s">
        <v>53</v>
      </c>
      <c r="AI1" s="91"/>
      <c r="AJ1" s="92" t="s">
        <v>54</v>
      </c>
      <c r="AK1" s="91"/>
      <c r="AL1" s="92" t="s">
        <v>55</v>
      </c>
      <c r="AM1" s="91"/>
    </row>
    <row r="2" spans="1:40" x14ac:dyDescent="0.25">
      <c r="F2" s="8" t="s">
        <v>66</v>
      </c>
      <c r="G2" s="8" t="s">
        <v>67</v>
      </c>
      <c r="H2" s="8" t="s">
        <v>66</v>
      </c>
      <c r="I2" s="8" t="s">
        <v>67</v>
      </c>
      <c r="J2" s="8" t="s">
        <v>66</v>
      </c>
      <c r="K2" s="8" t="s">
        <v>67</v>
      </c>
      <c r="L2" s="8" t="s">
        <v>66</v>
      </c>
      <c r="M2" s="8" t="s">
        <v>67</v>
      </c>
      <c r="N2" s="8" t="s">
        <v>66</v>
      </c>
      <c r="O2" s="8" t="s">
        <v>67</v>
      </c>
      <c r="P2" s="8" t="s">
        <v>66</v>
      </c>
      <c r="Q2" s="8" t="s">
        <v>67</v>
      </c>
      <c r="R2" s="8" t="s">
        <v>66</v>
      </c>
      <c r="S2" s="8" t="s">
        <v>67</v>
      </c>
      <c r="T2" s="8" t="s">
        <v>66</v>
      </c>
      <c r="U2" s="8" t="s">
        <v>67</v>
      </c>
      <c r="V2" s="8" t="s">
        <v>66</v>
      </c>
      <c r="W2" s="8" t="s">
        <v>67</v>
      </c>
      <c r="X2" s="8" t="s">
        <v>66</v>
      </c>
      <c r="Y2" s="8" t="s">
        <v>67</v>
      </c>
      <c r="Z2" s="8" t="s">
        <v>66</v>
      </c>
      <c r="AA2" s="8" t="s">
        <v>67</v>
      </c>
      <c r="AB2" s="8" t="s">
        <v>66</v>
      </c>
      <c r="AC2" s="8" t="s">
        <v>67</v>
      </c>
      <c r="AD2" s="8" t="s">
        <v>66</v>
      </c>
      <c r="AE2" s="8" t="s">
        <v>67</v>
      </c>
      <c r="AF2" s="8" t="s">
        <v>66</v>
      </c>
      <c r="AG2" s="8" t="s">
        <v>67</v>
      </c>
      <c r="AH2" s="8" t="s">
        <v>66</v>
      </c>
      <c r="AI2" s="8" t="s">
        <v>67</v>
      </c>
      <c r="AJ2" s="8" t="s">
        <v>66</v>
      </c>
      <c r="AK2" s="8" t="s">
        <v>67</v>
      </c>
      <c r="AL2" s="8" t="s">
        <v>66</v>
      </c>
      <c r="AM2" s="8" t="s">
        <v>67</v>
      </c>
    </row>
    <row r="3" spans="1:40" x14ac:dyDescent="0.25">
      <c r="A3" s="4">
        <v>133</v>
      </c>
      <c r="B3" s="4" t="s">
        <v>68</v>
      </c>
      <c r="C3" s="4" t="s">
        <v>69</v>
      </c>
      <c r="D3" s="4" t="s">
        <v>70</v>
      </c>
      <c r="E3" s="4" t="s">
        <v>71</v>
      </c>
      <c r="F3" s="4"/>
      <c r="G3" s="4"/>
      <c r="H3" s="9"/>
      <c r="I3" s="9"/>
      <c r="J3" s="4"/>
      <c r="K3" s="4"/>
      <c r="L3" s="9"/>
      <c r="M3" s="9"/>
      <c r="N3" s="4"/>
      <c r="O3" s="4"/>
      <c r="P3" s="9"/>
      <c r="Q3" s="9"/>
      <c r="R3" s="4"/>
      <c r="S3" s="4"/>
      <c r="T3" s="9"/>
      <c r="U3" s="9"/>
      <c r="V3" s="4"/>
      <c r="W3" s="4"/>
      <c r="X3" s="9"/>
      <c r="Y3" s="9"/>
      <c r="Z3" s="4"/>
      <c r="AA3" s="4"/>
      <c r="AB3" s="9"/>
      <c r="AC3" s="9"/>
      <c r="AD3" s="4"/>
      <c r="AE3" s="4"/>
      <c r="AF3" s="9"/>
      <c r="AG3" s="9"/>
      <c r="AH3" s="4"/>
      <c r="AI3" s="4"/>
      <c r="AJ3" s="9"/>
      <c r="AK3" s="9"/>
      <c r="AL3" s="4"/>
      <c r="AM3" s="4"/>
      <c r="AN3">
        <f>COUNTA(F3,H3,J3,L3,N3,P3,R3,T3,V3,X3,Z3,AB3,AD3,AF3,AH3,AJ3,AL3)</f>
        <v>0</v>
      </c>
    </row>
    <row r="4" spans="1:40" x14ac:dyDescent="0.25">
      <c r="A4" s="4">
        <v>280</v>
      </c>
      <c r="B4" s="4" t="s">
        <v>72</v>
      </c>
      <c r="C4" s="4" t="s">
        <v>73</v>
      </c>
      <c r="D4" s="4" t="s">
        <v>74</v>
      </c>
      <c r="E4" s="4" t="s">
        <v>75</v>
      </c>
      <c r="F4" s="4"/>
      <c r="G4" s="4"/>
      <c r="H4" s="9"/>
      <c r="I4" s="9"/>
      <c r="J4" s="4"/>
      <c r="K4" s="4"/>
      <c r="L4" s="9"/>
      <c r="M4" s="9"/>
      <c r="N4" s="4"/>
      <c r="O4" s="4"/>
      <c r="P4" s="9"/>
      <c r="Q4" s="9"/>
      <c r="R4" s="4"/>
      <c r="S4" s="4"/>
      <c r="T4" s="9"/>
      <c r="U4" s="9"/>
      <c r="V4" s="4"/>
      <c r="W4" s="4"/>
      <c r="X4" s="9"/>
      <c r="Y4" s="9"/>
      <c r="Z4" s="4"/>
      <c r="AA4" s="4"/>
      <c r="AB4" s="9"/>
      <c r="AC4" s="9"/>
      <c r="AD4" s="4"/>
      <c r="AE4" s="4"/>
      <c r="AF4" s="9"/>
      <c r="AG4" s="9"/>
      <c r="AH4" s="4"/>
      <c r="AI4" s="4"/>
      <c r="AJ4" s="9"/>
      <c r="AK4" s="9"/>
      <c r="AL4" s="4"/>
      <c r="AM4" s="4"/>
      <c r="AN4">
        <f t="shared" ref="AN4:AN15" si="0">COUNTA(F4,H4,J4,L4,N4,P4,R4,T4,V4,X4,Z4,AB4,AD4,AF4,AH4,AJ4,AL4)</f>
        <v>0</v>
      </c>
    </row>
    <row r="5" spans="1:40" x14ac:dyDescent="0.25">
      <c r="A5" s="4">
        <v>150</v>
      </c>
      <c r="B5" s="4" t="s">
        <v>76</v>
      </c>
      <c r="C5" s="4" t="s">
        <v>77</v>
      </c>
      <c r="D5" s="4" t="s">
        <v>74</v>
      </c>
      <c r="E5" s="4" t="s">
        <v>75</v>
      </c>
      <c r="F5" s="4"/>
      <c r="G5" s="4"/>
      <c r="H5" s="9"/>
      <c r="I5" s="9"/>
      <c r="J5" s="4"/>
      <c r="K5" s="4"/>
      <c r="L5" s="9"/>
      <c r="M5" s="9"/>
      <c r="N5" s="4"/>
      <c r="O5" s="4"/>
      <c r="P5" s="9"/>
      <c r="Q5" s="9"/>
      <c r="R5" s="4"/>
      <c r="S5" s="4"/>
      <c r="T5" s="9"/>
      <c r="U5" s="9"/>
      <c r="V5" s="4"/>
      <c r="W5" s="4"/>
      <c r="X5" s="9"/>
      <c r="Y5" s="9"/>
      <c r="Z5" s="4"/>
      <c r="AA5" s="4"/>
      <c r="AB5" s="9"/>
      <c r="AC5" s="9"/>
      <c r="AD5" s="4"/>
      <c r="AE5" s="4"/>
      <c r="AF5" s="9"/>
      <c r="AG5" s="9"/>
      <c r="AH5" s="4"/>
      <c r="AI5" s="4"/>
      <c r="AJ5" s="9"/>
      <c r="AK5" s="9"/>
      <c r="AL5" s="4"/>
      <c r="AM5" s="4"/>
      <c r="AN5">
        <f t="shared" si="0"/>
        <v>0</v>
      </c>
    </row>
    <row r="6" spans="1:40" x14ac:dyDescent="0.25">
      <c r="A6" s="4">
        <v>152</v>
      </c>
      <c r="B6" s="4" t="s">
        <v>78</v>
      </c>
      <c r="C6" s="4" t="s">
        <v>79</v>
      </c>
      <c r="D6" s="4" t="s">
        <v>80</v>
      </c>
      <c r="E6" s="4" t="s">
        <v>62</v>
      </c>
      <c r="F6" s="4"/>
      <c r="G6" s="4"/>
      <c r="H6" s="9"/>
      <c r="I6" s="9"/>
      <c r="J6" s="4"/>
      <c r="K6" s="4"/>
      <c r="L6" s="9"/>
      <c r="M6" s="9"/>
      <c r="N6" s="4"/>
      <c r="O6" s="4"/>
      <c r="P6" s="9"/>
      <c r="Q6" s="9"/>
      <c r="R6" s="4"/>
      <c r="S6" s="4"/>
      <c r="T6" s="9"/>
      <c r="U6" s="9"/>
      <c r="V6" s="4"/>
      <c r="W6" s="4"/>
      <c r="X6" s="9"/>
      <c r="Y6" s="9"/>
      <c r="Z6" s="4"/>
      <c r="AA6" s="4"/>
      <c r="AB6" s="9"/>
      <c r="AC6" s="9"/>
      <c r="AD6" s="4"/>
      <c r="AE6" s="4"/>
      <c r="AF6" s="9"/>
      <c r="AG6" s="9"/>
      <c r="AH6" s="4"/>
      <c r="AI6" s="4"/>
      <c r="AJ6" s="9"/>
      <c r="AK6" s="9"/>
      <c r="AL6" s="4"/>
      <c r="AM6" s="4"/>
      <c r="AN6">
        <f t="shared" si="0"/>
        <v>0</v>
      </c>
    </row>
    <row r="7" spans="1:40" x14ac:dyDescent="0.25">
      <c r="A7" s="4">
        <v>299</v>
      </c>
      <c r="B7" s="4" t="s">
        <v>81</v>
      </c>
      <c r="C7" s="4" t="s">
        <v>82</v>
      </c>
      <c r="D7" s="4" t="s">
        <v>83</v>
      </c>
      <c r="E7" s="4" t="s">
        <v>84</v>
      </c>
      <c r="F7" s="4"/>
      <c r="G7" s="4"/>
      <c r="H7" s="9"/>
      <c r="I7" s="9"/>
      <c r="J7" s="4"/>
      <c r="K7" s="4"/>
      <c r="L7" s="9"/>
      <c r="M7" s="9"/>
      <c r="N7" s="4"/>
      <c r="O7" s="4"/>
      <c r="P7" s="9"/>
      <c r="Q7" s="9"/>
      <c r="R7" s="4"/>
      <c r="S7" s="4"/>
      <c r="T7" s="9"/>
      <c r="U7" s="9"/>
      <c r="V7" s="4"/>
      <c r="W7" s="4"/>
      <c r="X7" s="9"/>
      <c r="Y7" s="9"/>
      <c r="Z7" s="4"/>
      <c r="AA7" s="4"/>
      <c r="AB7" s="9"/>
      <c r="AC7" s="9"/>
      <c r="AD7" s="4"/>
      <c r="AE7" s="4"/>
      <c r="AF7" s="9"/>
      <c r="AG7" s="9"/>
      <c r="AH7" s="4"/>
      <c r="AI7" s="4"/>
      <c r="AJ7" s="9"/>
      <c r="AK7" s="9"/>
      <c r="AL7" s="4"/>
      <c r="AM7" s="4"/>
      <c r="AN7">
        <f t="shared" si="0"/>
        <v>0</v>
      </c>
    </row>
    <row r="8" spans="1:40" x14ac:dyDescent="0.25">
      <c r="A8" s="4">
        <v>154</v>
      </c>
      <c r="B8" s="4" t="s">
        <v>85</v>
      </c>
      <c r="C8" s="4" t="s">
        <v>86</v>
      </c>
      <c r="D8" s="4" t="s">
        <v>87</v>
      </c>
      <c r="E8" s="4" t="s">
        <v>88</v>
      </c>
      <c r="F8" s="4"/>
      <c r="G8" s="4"/>
      <c r="H8" s="9"/>
      <c r="I8" s="9"/>
      <c r="J8" s="4"/>
      <c r="K8" s="4"/>
      <c r="L8" s="9"/>
      <c r="M8" s="9"/>
      <c r="N8" s="4"/>
      <c r="O8" s="4"/>
      <c r="P8" s="9"/>
      <c r="Q8" s="9"/>
      <c r="R8" s="4"/>
      <c r="S8" s="4"/>
      <c r="T8" s="9"/>
      <c r="U8" s="9"/>
      <c r="V8" s="4"/>
      <c r="W8" s="4"/>
      <c r="X8" s="9"/>
      <c r="Y8" s="9"/>
      <c r="Z8" s="4"/>
      <c r="AA8" s="4"/>
      <c r="AB8" s="9"/>
      <c r="AC8" s="9"/>
      <c r="AD8" s="4"/>
      <c r="AE8" s="4"/>
      <c r="AF8" s="9"/>
      <c r="AG8" s="9"/>
      <c r="AH8" s="4"/>
      <c r="AI8" s="4"/>
      <c r="AJ8" s="9"/>
      <c r="AK8" s="9"/>
      <c r="AL8" s="4"/>
      <c r="AM8" s="4"/>
      <c r="AN8">
        <f t="shared" si="0"/>
        <v>0</v>
      </c>
    </row>
    <row r="9" spans="1:40" x14ac:dyDescent="0.25">
      <c r="A9" s="12">
        <v>277</v>
      </c>
      <c r="B9" s="12" t="s">
        <v>89</v>
      </c>
      <c r="C9" s="12" t="s">
        <v>90</v>
      </c>
      <c r="D9" s="12" t="s">
        <v>91</v>
      </c>
      <c r="E9" s="12" t="s">
        <v>92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>
        <f t="shared" si="0"/>
        <v>0</v>
      </c>
    </row>
    <row r="10" spans="1:40" x14ac:dyDescent="0.25">
      <c r="A10" s="4">
        <v>294</v>
      </c>
      <c r="B10" s="4" t="s">
        <v>93</v>
      </c>
      <c r="C10" s="4" t="s">
        <v>94</v>
      </c>
      <c r="D10" s="4" t="s">
        <v>91</v>
      </c>
      <c r="E10" s="4" t="s">
        <v>92</v>
      </c>
      <c r="F10" s="4"/>
      <c r="G10" s="4"/>
      <c r="H10" s="9"/>
      <c r="I10" s="9"/>
      <c r="J10" s="4"/>
      <c r="K10" s="4"/>
      <c r="L10" s="9"/>
      <c r="M10" s="9"/>
      <c r="N10" s="4"/>
      <c r="O10" s="4"/>
      <c r="P10" s="9"/>
      <c r="Q10" s="9"/>
      <c r="R10" s="4"/>
      <c r="S10" s="4"/>
      <c r="T10" s="9"/>
      <c r="U10" s="9"/>
      <c r="V10" s="4"/>
      <c r="W10" s="4"/>
      <c r="X10" s="9"/>
      <c r="Y10" s="9"/>
      <c r="Z10" s="4"/>
      <c r="AA10" s="4"/>
      <c r="AB10" s="9"/>
      <c r="AC10" s="9"/>
      <c r="AD10" s="4"/>
      <c r="AE10" s="4"/>
      <c r="AF10" s="9"/>
      <c r="AG10" s="9"/>
      <c r="AH10" s="4"/>
      <c r="AI10" s="4"/>
      <c r="AJ10" s="9"/>
      <c r="AK10" s="9"/>
      <c r="AL10" s="4"/>
      <c r="AM10" s="4"/>
      <c r="AN10">
        <f t="shared" si="0"/>
        <v>0</v>
      </c>
    </row>
    <row r="11" spans="1:40" x14ac:dyDescent="0.25">
      <c r="A11" s="4">
        <v>149</v>
      </c>
      <c r="B11" s="4" t="s">
        <v>95</v>
      </c>
      <c r="C11" s="4" t="s">
        <v>96</v>
      </c>
      <c r="D11" s="4" t="s">
        <v>91</v>
      </c>
      <c r="E11" s="4" t="s">
        <v>92</v>
      </c>
      <c r="F11" s="4"/>
      <c r="G11" s="4"/>
      <c r="H11" s="9"/>
      <c r="I11" s="9"/>
      <c r="J11" s="4"/>
      <c r="K11" s="4"/>
      <c r="L11" s="9"/>
      <c r="M11" s="9"/>
      <c r="N11" s="4"/>
      <c r="O11" s="4"/>
      <c r="P11" s="9"/>
      <c r="Q11" s="9"/>
      <c r="R11" s="4"/>
      <c r="S11" s="4"/>
      <c r="T11" s="9"/>
      <c r="U11" s="9"/>
      <c r="V11" s="4"/>
      <c r="W11" s="4"/>
      <c r="X11" s="9"/>
      <c r="Y11" s="9"/>
      <c r="Z11" s="4"/>
      <c r="AA11" s="4"/>
      <c r="AB11" s="9"/>
      <c r="AC11" s="9"/>
      <c r="AD11" s="4"/>
      <c r="AE11" s="4"/>
      <c r="AF11" s="9"/>
      <c r="AG11" s="9"/>
      <c r="AH11" s="4"/>
      <c r="AI11" s="4"/>
      <c r="AJ11" s="9"/>
      <c r="AK11" s="9"/>
      <c r="AL11" s="4"/>
      <c r="AM11" s="4"/>
      <c r="AN11">
        <f t="shared" si="0"/>
        <v>0</v>
      </c>
    </row>
    <row r="12" spans="1:40" x14ac:dyDescent="0.25">
      <c r="A12" s="12">
        <v>323</v>
      </c>
      <c r="B12" s="12" t="s">
        <v>97</v>
      </c>
      <c r="C12" s="12" t="s">
        <v>98</v>
      </c>
      <c r="D12" s="12" t="s">
        <v>99</v>
      </c>
      <c r="E12" s="12" t="s">
        <v>100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>
        <f t="shared" si="0"/>
        <v>0</v>
      </c>
    </row>
    <row r="13" spans="1:40" x14ac:dyDescent="0.25">
      <c r="A13" s="4">
        <v>153</v>
      </c>
      <c r="B13" s="4" t="s">
        <v>101</v>
      </c>
      <c r="C13" s="4" t="s">
        <v>102</v>
      </c>
      <c r="D13" s="4" t="s">
        <v>99</v>
      </c>
      <c r="E13" s="4" t="s">
        <v>100</v>
      </c>
      <c r="F13" s="4"/>
      <c r="G13" s="4"/>
      <c r="H13" s="9"/>
      <c r="I13" s="9"/>
      <c r="J13" s="4"/>
      <c r="K13" s="4"/>
      <c r="L13" s="9"/>
      <c r="M13" s="9"/>
      <c r="N13" s="4"/>
      <c r="O13" s="4"/>
      <c r="P13" s="9"/>
      <c r="Q13" s="9"/>
      <c r="R13" s="4"/>
      <c r="S13" s="4"/>
      <c r="T13" s="9"/>
      <c r="U13" s="9"/>
      <c r="V13" s="4"/>
      <c r="W13" s="4"/>
      <c r="X13" s="9"/>
      <c r="Y13" s="9"/>
      <c r="Z13" s="4"/>
      <c r="AA13" s="4"/>
      <c r="AB13" s="9"/>
      <c r="AC13" s="9"/>
      <c r="AD13" s="4"/>
      <c r="AE13" s="4"/>
      <c r="AF13" s="9"/>
      <c r="AG13" s="9"/>
      <c r="AH13" s="4"/>
      <c r="AI13" s="4"/>
      <c r="AJ13" s="9"/>
      <c r="AK13" s="9"/>
      <c r="AL13" s="4"/>
      <c r="AM13" s="4"/>
      <c r="AN13">
        <f t="shared" si="0"/>
        <v>0</v>
      </c>
    </row>
    <row r="14" spans="1:40" x14ac:dyDescent="0.25">
      <c r="A14" s="4">
        <v>322</v>
      </c>
      <c r="B14" s="4" t="s">
        <v>103</v>
      </c>
      <c r="C14" s="4" t="s">
        <v>104</v>
      </c>
      <c r="D14" s="4" t="s">
        <v>105</v>
      </c>
      <c r="E14" s="4" t="s">
        <v>106</v>
      </c>
      <c r="F14" s="4"/>
      <c r="G14" s="4"/>
      <c r="H14" s="9"/>
      <c r="I14" s="9"/>
      <c r="J14" s="4"/>
      <c r="K14" s="4"/>
      <c r="L14" s="9"/>
      <c r="M14" s="9"/>
      <c r="N14" s="4"/>
      <c r="O14" s="4"/>
      <c r="P14" s="9"/>
      <c r="Q14" s="9"/>
      <c r="R14" s="4"/>
      <c r="S14" s="4"/>
      <c r="T14" s="9"/>
      <c r="U14" s="9"/>
      <c r="V14" s="4"/>
      <c r="W14" s="4"/>
      <c r="X14" s="9"/>
      <c r="Y14" s="9"/>
      <c r="Z14" s="4"/>
      <c r="AA14" s="4"/>
      <c r="AB14" s="9"/>
      <c r="AC14" s="9"/>
      <c r="AD14" s="4"/>
      <c r="AE14" s="4"/>
      <c r="AF14" s="9"/>
      <c r="AG14" s="9"/>
      <c r="AH14" s="4"/>
      <c r="AI14" s="4"/>
      <c r="AJ14" s="9"/>
      <c r="AK14" s="9"/>
      <c r="AL14" s="4"/>
      <c r="AM14" s="4"/>
      <c r="AN14">
        <f t="shared" si="0"/>
        <v>0</v>
      </c>
    </row>
    <row r="15" spans="1:40" x14ac:dyDescent="0.25">
      <c r="A15" s="4">
        <v>303</v>
      </c>
      <c r="B15" s="4" t="s">
        <v>107</v>
      </c>
      <c r="C15" s="4" t="s">
        <v>108</v>
      </c>
      <c r="D15" s="4" t="s">
        <v>109</v>
      </c>
      <c r="E15" s="4" t="s">
        <v>110</v>
      </c>
      <c r="F15" s="4"/>
      <c r="G15" s="4"/>
      <c r="H15" s="9"/>
      <c r="I15" s="9"/>
      <c r="J15" s="4"/>
      <c r="K15" s="4"/>
      <c r="L15" s="9"/>
      <c r="M15" s="9"/>
      <c r="N15" s="4"/>
      <c r="O15" s="4"/>
      <c r="P15" s="9"/>
      <c r="Q15" s="9"/>
      <c r="R15" s="4"/>
      <c r="S15" s="4"/>
      <c r="T15" s="9"/>
      <c r="U15" s="9"/>
      <c r="V15" s="4"/>
      <c r="W15" s="4"/>
      <c r="X15" s="9"/>
      <c r="Y15" s="9"/>
      <c r="Z15" s="4"/>
      <c r="AA15" s="4"/>
      <c r="AB15" s="9"/>
      <c r="AC15" s="9"/>
      <c r="AD15" s="4"/>
      <c r="AE15" s="4"/>
      <c r="AF15" s="9"/>
      <c r="AG15" s="9"/>
      <c r="AH15" s="4"/>
      <c r="AI15" s="4"/>
      <c r="AJ15" s="9"/>
      <c r="AK15" s="9"/>
      <c r="AL15" s="4"/>
      <c r="AM15" s="4"/>
      <c r="AN15">
        <f t="shared" si="0"/>
        <v>0</v>
      </c>
    </row>
    <row r="18" spans="1:1" x14ac:dyDescent="0.25">
      <c r="A18" s="19" t="s">
        <v>131</v>
      </c>
    </row>
  </sheetData>
  <mergeCells count="17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D1:AE1"/>
    <mergeCell ref="AF1:AG1"/>
    <mergeCell ref="AH1:AI1"/>
    <mergeCell ref="AJ1:AK1"/>
    <mergeCell ref="AL1:AM1"/>
  </mergeCells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Etablissements!$F$1:$F$41</xm:f>
          </x14:formula1>
          <xm:sqref>H3:H15 J3:J15 L3:L15 N3:N15 P3:P15 AF3:AF15 V3:V15 X3:X15 Z3:Z15 AB3:AB15 AL3:AL15 AH3:AH15 AJ3:AJ15 AD3:AD15 T3:T15 R3:R15 F3:F15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C2:AP92"/>
  <sheetViews>
    <sheetView topLeftCell="A33" workbookViewId="0">
      <selection activeCell="AP47" sqref="AP47"/>
    </sheetView>
  </sheetViews>
  <sheetFormatPr baseColWidth="10" defaultRowHeight="15" x14ac:dyDescent="0.25"/>
  <cols>
    <col min="4" max="4" width="18.140625" customWidth="1"/>
    <col min="5" max="5" width="12.42578125" customWidth="1"/>
    <col min="6" max="39" width="5.7109375" customWidth="1"/>
    <col min="40" max="41" width="7.140625" customWidth="1"/>
    <col min="42" max="42" width="0" hidden="1" customWidth="1"/>
  </cols>
  <sheetData>
    <row r="2" spans="3:41" x14ac:dyDescent="0.25">
      <c r="C2" s="4"/>
      <c r="D2" s="4"/>
      <c r="E2" s="4"/>
      <c r="F2" s="90" t="s">
        <v>241</v>
      </c>
      <c r="G2" s="91"/>
      <c r="H2" s="92" t="s">
        <v>186</v>
      </c>
      <c r="I2" s="91"/>
      <c r="J2" s="92" t="s">
        <v>187</v>
      </c>
      <c r="K2" s="91"/>
      <c r="L2" s="92" t="s">
        <v>124</v>
      </c>
      <c r="M2" s="91"/>
      <c r="N2" s="92" t="s">
        <v>44</v>
      </c>
      <c r="O2" s="91"/>
      <c r="P2" s="92" t="s">
        <v>47</v>
      </c>
      <c r="Q2" s="91"/>
      <c r="R2" s="92" t="s">
        <v>188</v>
      </c>
      <c r="S2" s="91"/>
      <c r="T2" s="92" t="s">
        <v>189</v>
      </c>
      <c r="U2" s="91"/>
      <c r="V2" s="92" t="s">
        <v>218</v>
      </c>
      <c r="W2" s="91"/>
      <c r="X2" s="92" t="s">
        <v>48</v>
      </c>
      <c r="Y2" s="91"/>
      <c r="Z2" s="92" t="s">
        <v>51</v>
      </c>
      <c r="AA2" s="91"/>
      <c r="AB2" s="92" t="s">
        <v>137</v>
      </c>
      <c r="AC2" s="91"/>
      <c r="AD2" s="92" t="s">
        <v>132</v>
      </c>
      <c r="AE2" s="91"/>
      <c r="AF2" s="92" t="s">
        <v>125</v>
      </c>
      <c r="AG2" s="91"/>
      <c r="AH2" s="92" t="s">
        <v>52</v>
      </c>
      <c r="AI2" s="91"/>
      <c r="AJ2" s="92" t="s">
        <v>55</v>
      </c>
      <c r="AK2" s="91"/>
      <c r="AL2" s="92" t="s">
        <v>138</v>
      </c>
      <c r="AM2" s="91"/>
      <c r="AN2" s="92" t="s">
        <v>133</v>
      </c>
      <c r="AO2" s="91"/>
    </row>
    <row r="3" spans="3:41" x14ac:dyDescent="0.25">
      <c r="C3" s="4"/>
      <c r="D3" s="4"/>
      <c r="E3" s="4"/>
      <c r="F3" s="5" t="s">
        <v>112</v>
      </c>
      <c r="G3" s="5" t="s">
        <v>113</v>
      </c>
      <c r="H3" s="5" t="s">
        <v>112</v>
      </c>
      <c r="I3" s="5" t="s">
        <v>113</v>
      </c>
      <c r="J3" s="5" t="s">
        <v>112</v>
      </c>
      <c r="K3" s="5" t="s">
        <v>113</v>
      </c>
      <c r="L3" s="5" t="s">
        <v>112</v>
      </c>
      <c r="M3" s="5" t="s">
        <v>113</v>
      </c>
      <c r="N3" s="5" t="s">
        <v>112</v>
      </c>
      <c r="O3" s="5" t="s">
        <v>113</v>
      </c>
      <c r="P3" s="5" t="s">
        <v>112</v>
      </c>
      <c r="Q3" s="5" t="s">
        <v>113</v>
      </c>
      <c r="R3" s="5" t="s">
        <v>112</v>
      </c>
      <c r="S3" s="5" t="s">
        <v>113</v>
      </c>
      <c r="T3" s="5" t="s">
        <v>112</v>
      </c>
      <c r="U3" s="5" t="s">
        <v>113</v>
      </c>
      <c r="V3" s="5" t="s">
        <v>112</v>
      </c>
      <c r="W3" s="5" t="s">
        <v>113</v>
      </c>
      <c r="X3" s="5" t="s">
        <v>112</v>
      </c>
      <c r="Y3" s="5" t="s">
        <v>113</v>
      </c>
      <c r="Z3" s="5" t="s">
        <v>112</v>
      </c>
      <c r="AA3" s="5" t="s">
        <v>113</v>
      </c>
      <c r="AB3" s="5" t="s">
        <v>112</v>
      </c>
      <c r="AC3" s="5" t="s">
        <v>113</v>
      </c>
      <c r="AD3" s="5" t="s">
        <v>112</v>
      </c>
      <c r="AE3" s="5" t="s">
        <v>113</v>
      </c>
      <c r="AF3" s="5" t="s">
        <v>112</v>
      </c>
      <c r="AG3" s="5" t="s">
        <v>113</v>
      </c>
      <c r="AH3" s="5" t="s">
        <v>112</v>
      </c>
      <c r="AI3" s="5" t="s">
        <v>113</v>
      </c>
      <c r="AJ3" s="5" t="s">
        <v>112</v>
      </c>
      <c r="AK3" s="5" t="s">
        <v>113</v>
      </c>
      <c r="AL3" s="5" t="s">
        <v>112</v>
      </c>
      <c r="AM3" s="5" t="s">
        <v>113</v>
      </c>
      <c r="AN3" s="5" t="s">
        <v>112</v>
      </c>
      <c r="AO3" s="5" t="s">
        <v>113</v>
      </c>
    </row>
    <row r="4" spans="3:41" x14ac:dyDescent="0.25">
      <c r="C4" s="4" t="str">
        <f>'E4-2016'!E3</f>
        <v>SEFE</v>
      </c>
      <c r="D4" s="4" t="str">
        <f>'E4-2016'!B3</f>
        <v>Lycee BETH SEFER</v>
      </c>
      <c r="E4" s="4" t="str">
        <f>'E4-2016'!D3</f>
        <v>0753372H</v>
      </c>
      <c r="F4" s="4">
        <f>Affectations!E3</f>
        <v>1</v>
      </c>
      <c r="G4" s="4">
        <f>Affectations!E3</f>
        <v>1</v>
      </c>
      <c r="H4" s="4">
        <f>Affectations!G3</f>
        <v>1</v>
      </c>
      <c r="I4" s="4">
        <f>Affectations!G3</f>
        <v>1</v>
      </c>
      <c r="J4" s="4">
        <f>Affectations!I3</f>
        <v>0</v>
      </c>
      <c r="K4" s="4">
        <f>Affectations!I3</f>
        <v>0</v>
      </c>
      <c r="L4" s="4">
        <f>Affectations!K3</f>
        <v>0</v>
      </c>
      <c r="M4" s="4">
        <f>Affectations!K3</f>
        <v>0</v>
      </c>
      <c r="N4" s="4">
        <f>Affectations!M3</f>
        <v>0</v>
      </c>
      <c r="O4" s="4">
        <f>Affectations!M3</f>
        <v>0</v>
      </c>
      <c r="P4" s="4">
        <f>Affectations!O3</f>
        <v>0</v>
      </c>
      <c r="Q4" s="4">
        <f>Affectations!O3</f>
        <v>0</v>
      </c>
      <c r="R4" s="4">
        <f>Affectations!Q3</f>
        <v>0</v>
      </c>
      <c r="S4" s="4">
        <f>Affectations!Q3</f>
        <v>0</v>
      </c>
      <c r="T4" s="4">
        <f>Affectations!S3</f>
        <v>0</v>
      </c>
      <c r="U4" s="4">
        <f>Affectations!S3</f>
        <v>0</v>
      </c>
      <c r="V4" s="4">
        <f>Affectations!U3</f>
        <v>0</v>
      </c>
      <c r="W4" s="4">
        <f>Affectations!U3</f>
        <v>0</v>
      </c>
      <c r="X4" s="4">
        <f>Affectations!W3</f>
        <v>0</v>
      </c>
      <c r="Y4" s="4">
        <f>Affectations!W3</f>
        <v>0</v>
      </c>
      <c r="Z4" s="4">
        <f>Affectations!Y3</f>
        <v>0</v>
      </c>
      <c r="AA4" s="4">
        <f>Affectations!Y3</f>
        <v>0</v>
      </c>
      <c r="AB4" s="4">
        <f>Affectations!AA3</f>
        <v>0</v>
      </c>
      <c r="AC4" s="4">
        <f>Affectations!AA3</f>
        <v>0</v>
      </c>
      <c r="AD4" s="4">
        <f>Affectations!AC3</f>
        <v>0</v>
      </c>
      <c r="AE4" s="4">
        <f>Affectations!AC3</f>
        <v>0</v>
      </c>
      <c r="AF4" s="4">
        <f>Affectations!AE3</f>
        <v>0</v>
      </c>
      <c r="AG4" s="4">
        <f>Affectations!AE3</f>
        <v>0</v>
      </c>
      <c r="AH4" s="4">
        <f>Affectations!AG3</f>
        <v>0</v>
      </c>
      <c r="AI4" s="4">
        <f>Affectations!AG3</f>
        <v>0</v>
      </c>
      <c r="AJ4" s="4">
        <f>Affectations!AI3</f>
        <v>0</v>
      </c>
      <c r="AK4" s="4">
        <f>Affectations!AI3</f>
        <v>0</v>
      </c>
      <c r="AL4" s="4" t="e">
        <f>Affectations!#REF!</f>
        <v>#REF!</v>
      </c>
      <c r="AM4" s="4" t="e">
        <f>Affectations!#REF!</f>
        <v>#REF!</v>
      </c>
      <c r="AN4" s="4" t="e">
        <f>Affectations!#REF!</f>
        <v>#REF!</v>
      </c>
      <c r="AO4" s="4" t="e">
        <f>Affectations!#REF!</f>
        <v>#REF!</v>
      </c>
    </row>
    <row r="5" spans="3:41" x14ac:dyDescent="0.25">
      <c r="C5" s="4" t="str">
        <f>'E4-2016'!E4</f>
        <v>LFS</v>
      </c>
      <c r="D5" s="4" t="str">
        <f>'E4-2016'!B4</f>
        <v>Lycée Fénelon Sup La Pleine Monceau</v>
      </c>
      <c r="E5" s="4" t="str">
        <f>'E4-2016'!D4</f>
        <v>0754037F</v>
      </c>
      <c r="F5" s="4">
        <f>Affectations!E4</f>
        <v>0</v>
      </c>
      <c r="G5" s="4">
        <f>Affectations!E4</f>
        <v>0</v>
      </c>
      <c r="H5" s="4">
        <f>Affectations!G4</f>
        <v>0</v>
      </c>
      <c r="I5" s="4">
        <f>Affectations!G4</f>
        <v>0</v>
      </c>
      <c r="J5" s="4">
        <f>Affectations!I4</f>
        <v>0</v>
      </c>
      <c r="K5" s="4">
        <f>Affectations!I4</f>
        <v>0</v>
      </c>
      <c r="L5" s="4">
        <f>Affectations!K4</f>
        <v>0</v>
      </c>
      <c r="M5" s="4">
        <f>Affectations!K4</f>
        <v>0</v>
      </c>
      <c r="N5" s="4">
        <f>Affectations!M4</f>
        <v>1</v>
      </c>
      <c r="O5" s="4">
        <f>Affectations!M4</f>
        <v>1</v>
      </c>
      <c r="P5" s="4">
        <f>Affectations!O4</f>
        <v>1</v>
      </c>
      <c r="Q5" s="4">
        <f>Affectations!O4</f>
        <v>1</v>
      </c>
      <c r="R5" s="4">
        <f>Affectations!Q4</f>
        <v>0</v>
      </c>
      <c r="S5" s="4">
        <f>Affectations!Q4</f>
        <v>0</v>
      </c>
      <c r="T5" s="4">
        <f>Affectations!S4</f>
        <v>0</v>
      </c>
      <c r="U5" s="4">
        <f>Affectations!S4</f>
        <v>0</v>
      </c>
      <c r="V5" s="4">
        <f>Affectations!U4</f>
        <v>0</v>
      </c>
      <c r="W5" s="4">
        <f>Affectations!U4</f>
        <v>0</v>
      </c>
      <c r="X5" s="4">
        <f>Affectations!W4</f>
        <v>0</v>
      </c>
      <c r="Y5" s="4">
        <f>Affectations!W4</f>
        <v>0</v>
      </c>
      <c r="Z5" s="4">
        <f>Affectations!Y4</f>
        <v>0</v>
      </c>
      <c r="AA5" s="4">
        <f>Affectations!Y4</f>
        <v>0</v>
      </c>
      <c r="AB5" s="4">
        <f>Affectations!AA4</f>
        <v>0</v>
      </c>
      <c r="AC5" s="4">
        <f>Affectations!AA4</f>
        <v>0</v>
      </c>
      <c r="AD5" s="4">
        <f>Affectations!AC4</f>
        <v>0</v>
      </c>
      <c r="AE5" s="4">
        <f>Affectations!AC4</f>
        <v>0</v>
      </c>
      <c r="AF5" s="4">
        <f>Affectations!AE4</f>
        <v>0</v>
      </c>
      <c r="AG5" s="4">
        <f>Affectations!AE4</f>
        <v>0</v>
      </c>
      <c r="AH5" s="4">
        <f>Affectations!AG4</f>
        <v>0</v>
      </c>
      <c r="AI5" s="4">
        <f>Affectations!AG4</f>
        <v>0</v>
      </c>
      <c r="AJ5" s="4">
        <f>Affectations!AI4</f>
        <v>0</v>
      </c>
      <c r="AK5" s="4">
        <f>Affectations!AI4</f>
        <v>0</v>
      </c>
      <c r="AL5" s="4" t="e">
        <f>Affectations!#REF!</f>
        <v>#REF!</v>
      </c>
      <c r="AM5" s="4" t="e">
        <f>Affectations!#REF!</f>
        <v>#REF!</v>
      </c>
      <c r="AN5" s="4" t="e">
        <f>Affectations!#REF!</f>
        <v>#REF!</v>
      </c>
      <c r="AO5" s="4" t="e">
        <f>Affectations!#REF!</f>
        <v>#REF!</v>
      </c>
    </row>
    <row r="6" spans="3:41" x14ac:dyDescent="0.25">
      <c r="C6" s="4" t="str">
        <f>'E4-2016'!E5</f>
        <v>SORN</v>
      </c>
      <c r="D6" s="4" t="str">
        <f>'E4-2016'!B5</f>
        <v>Ecole SORNAS</v>
      </c>
      <c r="E6" s="4" t="str">
        <f>'E4-2016'!D5</f>
        <v>0754101A</v>
      </c>
      <c r="F6" s="4">
        <f>Affectations!E5</f>
        <v>0</v>
      </c>
      <c r="G6" s="4">
        <f>Affectations!E5</f>
        <v>0</v>
      </c>
      <c r="H6" s="4">
        <f>Affectations!G5</f>
        <v>1</v>
      </c>
      <c r="I6" s="4">
        <f>Affectations!G5</f>
        <v>1</v>
      </c>
      <c r="J6" s="4">
        <f>Affectations!I5</f>
        <v>1</v>
      </c>
      <c r="K6" s="4">
        <f>Affectations!I5</f>
        <v>1</v>
      </c>
      <c r="L6" s="4">
        <f>Affectations!K5</f>
        <v>1</v>
      </c>
      <c r="M6" s="4">
        <f>Affectations!K5</f>
        <v>1</v>
      </c>
      <c r="N6" s="4">
        <f>Affectations!M5</f>
        <v>0</v>
      </c>
      <c r="O6" s="4">
        <f>Affectations!M5</f>
        <v>0</v>
      </c>
      <c r="P6" s="4">
        <f>Affectations!O5</f>
        <v>0</v>
      </c>
      <c r="Q6" s="4">
        <f>Affectations!O5</f>
        <v>0</v>
      </c>
      <c r="R6" s="4">
        <f>Affectations!Q5</f>
        <v>0</v>
      </c>
      <c r="S6" s="4">
        <f>Affectations!Q5</f>
        <v>0</v>
      </c>
      <c r="T6" s="4">
        <f>Affectations!S5</f>
        <v>0</v>
      </c>
      <c r="U6" s="4">
        <f>Affectations!S5</f>
        <v>0</v>
      </c>
      <c r="V6" s="4">
        <f>Affectations!U5</f>
        <v>0</v>
      </c>
      <c r="W6" s="4">
        <f>Affectations!U5</f>
        <v>0</v>
      </c>
      <c r="X6" s="4">
        <f>Affectations!W5</f>
        <v>0</v>
      </c>
      <c r="Y6" s="4">
        <f>Affectations!W5</f>
        <v>0</v>
      </c>
      <c r="Z6" s="4">
        <f>Affectations!Y5</f>
        <v>0</v>
      </c>
      <c r="AA6" s="4">
        <f>Affectations!Y5</f>
        <v>0</v>
      </c>
      <c r="AB6" s="4">
        <f>Affectations!AA5</f>
        <v>0</v>
      </c>
      <c r="AC6" s="4">
        <f>Affectations!AA5</f>
        <v>0</v>
      </c>
      <c r="AD6" s="4">
        <f>Affectations!AC5</f>
        <v>0</v>
      </c>
      <c r="AE6" s="4">
        <f>Affectations!AC5</f>
        <v>0</v>
      </c>
      <c r="AF6" s="4">
        <f>Affectations!AE5</f>
        <v>0</v>
      </c>
      <c r="AG6" s="4">
        <f>Affectations!AE5</f>
        <v>0</v>
      </c>
      <c r="AH6" s="4">
        <f>Affectations!AG5</f>
        <v>0</v>
      </c>
      <c r="AI6" s="4">
        <f>Affectations!AG5</f>
        <v>0</v>
      </c>
      <c r="AJ6" s="4">
        <f>Affectations!AI5</f>
        <v>0</v>
      </c>
      <c r="AK6" s="4">
        <f>Affectations!AI5</f>
        <v>0</v>
      </c>
      <c r="AL6" s="4" t="e">
        <f>Affectations!#REF!</f>
        <v>#REF!</v>
      </c>
      <c r="AM6" s="4" t="e">
        <f>Affectations!#REF!</f>
        <v>#REF!</v>
      </c>
      <c r="AN6" s="4" t="e">
        <f>Affectations!#REF!</f>
        <v>#REF!</v>
      </c>
      <c r="AO6" s="4" t="e">
        <f>Affectations!#REF!</f>
        <v>#REF!</v>
      </c>
    </row>
    <row r="7" spans="3:41" x14ac:dyDescent="0.25">
      <c r="C7" s="4" t="str">
        <f>'E4-2016'!E6</f>
        <v>ITIC</v>
      </c>
      <c r="D7" s="4" t="str">
        <f>'E4-2016'!B6</f>
        <v>ITIC</v>
      </c>
      <c r="E7" s="4" t="str">
        <f>'E4-2016'!D6</f>
        <v>0754440U</v>
      </c>
      <c r="F7" s="4">
        <f>Affectations!E6</f>
        <v>0</v>
      </c>
      <c r="G7" s="4">
        <f>Affectations!E6</f>
        <v>0</v>
      </c>
      <c r="H7" s="4">
        <f>Affectations!G6</f>
        <v>0</v>
      </c>
      <c r="I7" s="4">
        <f>Affectations!G6</f>
        <v>0</v>
      </c>
      <c r="J7" s="4">
        <f>Affectations!I6</f>
        <v>0</v>
      </c>
      <c r="K7" s="4">
        <f>Affectations!I6</f>
        <v>0</v>
      </c>
      <c r="L7" s="4">
        <f>Affectations!K6</f>
        <v>0</v>
      </c>
      <c r="M7" s="4">
        <f>Affectations!K6</f>
        <v>0</v>
      </c>
      <c r="N7" s="4">
        <f>Affectations!M6</f>
        <v>0</v>
      </c>
      <c r="O7" s="4">
        <f>Affectations!M6</f>
        <v>0</v>
      </c>
      <c r="P7" s="4">
        <f>Affectations!O6</f>
        <v>0</v>
      </c>
      <c r="Q7" s="4">
        <f>Affectations!O6</f>
        <v>0</v>
      </c>
      <c r="R7" s="4">
        <f>Affectations!Q6</f>
        <v>2</v>
      </c>
      <c r="S7" s="4">
        <f>Affectations!Q6</f>
        <v>2</v>
      </c>
      <c r="T7" s="4">
        <f>Affectations!S6</f>
        <v>2</v>
      </c>
      <c r="U7" s="4">
        <f>Affectations!S6</f>
        <v>2</v>
      </c>
      <c r="V7" s="4">
        <f>Affectations!U6</f>
        <v>2</v>
      </c>
      <c r="W7" s="4">
        <f>Affectations!U6</f>
        <v>2</v>
      </c>
      <c r="X7" s="4">
        <f>Affectations!W6</f>
        <v>1</v>
      </c>
      <c r="Y7" s="4">
        <f>Affectations!W6</f>
        <v>1</v>
      </c>
      <c r="Z7" s="4">
        <f>Affectations!Y6</f>
        <v>0</v>
      </c>
      <c r="AA7" s="4">
        <f>Affectations!Y6</f>
        <v>0</v>
      </c>
      <c r="AB7" s="4">
        <f>Affectations!AA6</f>
        <v>0</v>
      </c>
      <c r="AC7" s="4">
        <f>Affectations!AA6</f>
        <v>0</v>
      </c>
      <c r="AD7" s="4">
        <f>Affectations!AC6</f>
        <v>0</v>
      </c>
      <c r="AE7" s="4">
        <f>Affectations!AC6</f>
        <v>0</v>
      </c>
      <c r="AF7" s="4">
        <f>Affectations!AE6</f>
        <v>0</v>
      </c>
      <c r="AG7" s="4">
        <f>Affectations!AE6</f>
        <v>0</v>
      </c>
      <c r="AH7" s="4">
        <f>Affectations!AG6</f>
        <v>0</v>
      </c>
      <c r="AI7" s="4">
        <f>Affectations!AG6</f>
        <v>0</v>
      </c>
      <c r="AJ7" s="4">
        <f>Affectations!AI6</f>
        <v>0</v>
      </c>
      <c r="AK7" s="4">
        <f>Affectations!AI6</f>
        <v>0</v>
      </c>
      <c r="AL7" s="4" t="e">
        <f>Affectations!#REF!</f>
        <v>#REF!</v>
      </c>
      <c r="AM7" s="4" t="e">
        <f>Affectations!#REF!</f>
        <v>#REF!</v>
      </c>
      <c r="AN7" s="4" t="e">
        <f>Affectations!#REF!</f>
        <v>#REF!</v>
      </c>
      <c r="AO7" s="4" t="e">
        <f>Affectations!#REF!</f>
        <v>#REF!</v>
      </c>
    </row>
    <row r="8" spans="3:41" x14ac:dyDescent="0.25">
      <c r="C8" s="4" t="str">
        <f>'E4-2016'!E7</f>
        <v>CERF</v>
      </c>
      <c r="D8" s="4" t="str">
        <f>'E4-2016'!B7</f>
        <v>CFA CERFAL</v>
      </c>
      <c r="E8" s="4" t="str">
        <f>'E4-2016'!D7</f>
        <v>0754458N</v>
      </c>
      <c r="F8" s="4">
        <f>Affectations!E7</f>
        <v>0</v>
      </c>
      <c r="G8" s="4">
        <f>Affectations!E7</f>
        <v>0</v>
      </c>
      <c r="H8" s="4">
        <f>Affectations!G7</f>
        <v>0</v>
      </c>
      <c r="I8" s="4">
        <f>Affectations!G7</f>
        <v>0</v>
      </c>
      <c r="J8" s="4">
        <f>Affectations!I7</f>
        <v>0</v>
      </c>
      <c r="K8" s="4">
        <f>Affectations!I7</f>
        <v>0</v>
      </c>
      <c r="L8" s="4">
        <f>Affectations!K7</f>
        <v>0</v>
      </c>
      <c r="M8" s="4">
        <f>Affectations!K7</f>
        <v>0</v>
      </c>
      <c r="N8" s="4">
        <f>Affectations!M7</f>
        <v>0</v>
      </c>
      <c r="O8" s="4">
        <f>Affectations!M7</f>
        <v>0</v>
      </c>
      <c r="P8" s="4">
        <f>Affectations!O7</f>
        <v>0</v>
      </c>
      <c r="Q8" s="4">
        <f>Affectations!O7</f>
        <v>0</v>
      </c>
      <c r="R8" s="4">
        <f>Affectations!Q7</f>
        <v>0</v>
      </c>
      <c r="S8" s="4">
        <f>Affectations!Q7</f>
        <v>0</v>
      </c>
      <c r="T8" s="4">
        <f>Affectations!S7</f>
        <v>0</v>
      </c>
      <c r="U8" s="4">
        <f>Affectations!S7</f>
        <v>0</v>
      </c>
      <c r="V8" s="4">
        <f>Affectations!U7</f>
        <v>0</v>
      </c>
      <c r="W8" s="4">
        <f>Affectations!U7</f>
        <v>0</v>
      </c>
      <c r="X8" s="4">
        <f>Affectations!W7</f>
        <v>0</v>
      </c>
      <c r="Y8" s="4">
        <f>Affectations!W7</f>
        <v>0</v>
      </c>
      <c r="Z8" s="4">
        <f>Affectations!Y7</f>
        <v>0</v>
      </c>
      <c r="AA8" s="4">
        <f>Affectations!Y7</f>
        <v>0</v>
      </c>
      <c r="AB8" s="4">
        <f>Affectations!AA7</f>
        <v>0</v>
      </c>
      <c r="AC8" s="4">
        <f>Affectations!AA7</f>
        <v>0</v>
      </c>
      <c r="AD8" s="4">
        <f>Affectations!AC7</f>
        <v>2</v>
      </c>
      <c r="AE8" s="4">
        <f>Affectations!AC7</f>
        <v>2</v>
      </c>
      <c r="AF8" s="4">
        <f>Affectations!AE7</f>
        <v>2</v>
      </c>
      <c r="AG8" s="4">
        <f>Affectations!AE7</f>
        <v>2</v>
      </c>
      <c r="AH8" s="4">
        <f>Affectations!AG7</f>
        <v>2</v>
      </c>
      <c r="AI8" s="4">
        <f>Affectations!AG7</f>
        <v>2</v>
      </c>
      <c r="AJ8" s="4">
        <f>Affectations!AI7</f>
        <v>0</v>
      </c>
      <c r="AK8" s="4">
        <f>Affectations!AI7</f>
        <v>0</v>
      </c>
      <c r="AL8" s="4" t="e">
        <f>Affectations!#REF!</f>
        <v>#REF!</v>
      </c>
      <c r="AM8" s="4" t="e">
        <f>Affectations!#REF!</f>
        <v>#REF!</v>
      </c>
      <c r="AN8" s="4" t="e">
        <f>Affectations!#REF!</f>
        <v>#REF!</v>
      </c>
      <c r="AO8" s="4" t="e">
        <f>Affectations!#REF!</f>
        <v>#REF!</v>
      </c>
    </row>
    <row r="9" spans="3:41" x14ac:dyDescent="0.25">
      <c r="C9" s="4" t="str">
        <f>'E4-2016'!E8</f>
        <v>SACE</v>
      </c>
      <c r="D9" s="4" t="str">
        <f>'E4-2016'!B8</f>
        <v>CFA SACEF</v>
      </c>
      <c r="E9" s="4" t="str">
        <f>'E4-2016'!D8</f>
        <v>0754679D</v>
      </c>
      <c r="F9" s="4">
        <f>Affectations!E8</f>
        <v>0</v>
      </c>
      <c r="G9" s="4">
        <f>Affectations!E8</f>
        <v>0</v>
      </c>
      <c r="H9" s="4">
        <f>Affectations!G8</f>
        <v>0</v>
      </c>
      <c r="I9" s="4">
        <f>Affectations!G8</f>
        <v>0</v>
      </c>
      <c r="J9" s="4">
        <f>Affectations!I8</f>
        <v>0</v>
      </c>
      <c r="K9" s="4">
        <f>Affectations!I8</f>
        <v>0</v>
      </c>
      <c r="L9" s="4">
        <f>Affectations!K8</f>
        <v>0</v>
      </c>
      <c r="M9" s="4">
        <f>Affectations!K8</f>
        <v>0</v>
      </c>
      <c r="N9" s="4">
        <f>Affectations!M8</f>
        <v>0</v>
      </c>
      <c r="O9" s="4">
        <f>Affectations!M8</f>
        <v>0</v>
      </c>
      <c r="P9" s="4">
        <f>Affectations!O8</f>
        <v>0</v>
      </c>
      <c r="Q9" s="4">
        <f>Affectations!O8</f>
        <v>0</v>
      </c>
      <c r="R9" s="4">
        <f>Affectations!Q8</f>
        <v>0</v>
      </c>
      <c r="S9" s="4">
        <f>Affectations!Q8</f>
        <v>0</v>
      </c>
      <c r="T9" s="4">
        <f>Affectations!S8</f>
        <v>0</v>
      </c>
      <c r="U9" s="4">
        <f>Affectations!S8</f>
        <v>0</v>
      </c>
      <c r="V9" s="4">
        <f>Affectations!U8</f>
        <v>0</v>
      </c>
      <c r="W9" s="4">
        <f>Affectations!U8</f>
        <v>0</v>
      </c>
      <c r="X9" s="4">
        <f>Affectations!W8</f>
        <v>0</v>
      </c>
      <c r="Y9" s="4">
        <f>Affectations!W8</f>
        <v>0</v>
      </c>
      <c r="Z9" s="4">
        <f>Affectations!Y8</f>
        <v>0</v>
      </c>
      <c r="AA9" s="4">
        <f>Affectations!Y8</f>
        <v>0</v>
      </c>
      <c r="AB9" s="4">
        <f>Affectations!AA8</f>
        <v>0</v>
      </c>
      <c r="AC9" s="4">
        <f>Affectations!AA8</f>
        <v>0</v>
      </c>
      <c r="AD9" s="4">
        <f>Affectations!AC8</f>
        <v>0</v>
      </c>
      <c r="AE9" s="4">
        <f>Affectations!AC8</f>
        <v>0</v>
      </c>
      <c r="AF9" s="4">
        <f>Affectations!AE8</f>
        <v>0</v>
      </c>
      <c r="AG9" s="4">
        <f>Affectations!AE8</f>
        <v>0</v>
      </c>
      <c r="AH9" s="4">
        <f>Affectations!AG8</f>
        <v>1</v>
      </c>
      <c r="AI9" s="4">
        <f>Affectations!AG8</f>
        <v>1</v>
      </c>
      <c r="AJ9" s="4">
        <f>Affectations!AI8</f>
        <v>1</v>
      </c>
      <c r="AK9" s="4">
        <f>Affectations!AI8</f>
        <v>1</v>
      </c>
      <c r="AL9" s="4" t="e">
        <f>Affectations!#REF!</f>
        <v>#REF!</v>
      </c>
      <c r="AM9" s="4" t="e">
        <f>Affectations!#REF!</f>
        <v>#REF!</v>
      </c>
      <c r="AN9" s="4" t="e">
        <f>Affectations!#REF!</f>
        <v>#REF!</v>
      </c>
      <c r="AO9" s="4" t="e">
        <f>Affectations!#REF!</f>
        <v>#REF!</v>
      </c>
    </row>
    <row r="10" spans="3:41" x14ac:dyDescent="0.25">
      <c r="C10" s="4" t="str">
        <f>'E4-2016'!E9</f>
        <v>GEFO</v>
      </c>
      <c r="D10" s="4" t="str">
        <f>'E4-2016'!B9</f>
        <v>GEFOR</v>
      </c>
      <c r="E10" s="4" t="str">
        <f>'E4-2016'!D9</f>
        <v>0755119G</v>
      </c>
      <c r="F10" s="4">
        <f>Affectations!E9</f>
        <v>0</v>
      </c>
      <c r="G10" s="4">
        <f>Affectations!E9</f>
        <v>0</v>
      </c>
      <c r="H10" s="4">
        <f>Affectations!G9</f>
        <v>0</v>
      </c>
      <c r="I10" s="4">
        <f>Affectations!G9</f>
        <v>0</v>
      </c>
      <c r="J10" s="4">
        <f>Affectations!I9</f>
        <v>0</v>
      </c>
      <c r="K10" s="4">
        <f>Affectations!I9</f>
        <v>0</v>
      </c>
      <c r="L10" s="4">
        <f>Affectations!K9</f>
        <v>0</v>
      </c>
      <c r="M10" s="4">
        <f>Affectations!K9</f>
        <v>0</v>
      </c>
      <c r="N10" s="4">
        <f>Affectations!M9</f>
        <v>0</v>
      </c>
      <c r="O10" s="4">
        <f>Affectations!M9</f>
        <v>0</v>
      </c>
      <c r="P10" s="4">
        <f>Affectations!O9</f>
        <v>0</v>
      </c>
      <c r="Q10" s="4">
        <f>Affectations!O9</f>
        <v>0</v>
      </c>
      <c r="R10" s="4">
        <f>Affectations!Q9</f>
        <v>0</v>
      </c>
      <c r="S10" s="4">
        <f>Affectations!Q9</f>
        <v>0</v>
      </c>
      <c r="T10" s="4">
        <f>Affectations!S9</f>
        <v>1</v>
      </c>
      <c r="U10" s="4">
        <f>Affectations!S9</f>
        <v>1</v>
      </c>
      <c r="V10" s="4">
        <f>Affectations!U9</f>
        <v>1</v>
      </c>
      <c r="W10" s="4">
        <f>Affectations!U9</f>
        <v>1</v>
      </c>
      <c r="X10" s="4">
        <f>Affectations!W9</f>
        <v>1</v>
      </c>
      <c r="Y10" s="4">
        <f>Affectations!W9</f>
        <v>1</v>
      </c>
      <c r="Z10" s="4">
        <f>Affectations!Y9</f>
        <v>1</v>
      </c>
      <c r="AA10" s="4">
        <f>Affectations!Y9</f>
        <v>1</v>
      </c>
      <c r="AB10" s="4">
        <f>Affectations!AA9</f>
        <v>1</v>
      </c>
      <c r="AC10" s="4">
        <f>Affectations!AA9</f>
        <v>1</v>
      </c>
      <c r="AD10" s="4">
        <f>Affectations!AC9</f>
        <v>0</v>
      </c>
      <c r="AE10" s="4">
        <f>Affectations!AC9</f>
        <v>0</v>
      </c>
      <c r="AF10" s="4">
        <f>Affectations!AE9</f>
        <v>0</v>
      </c>
      <c r="AG10" s="4">
        <f>Affectations!AE9</f>
        <v>0</v>
      </c>
      <c r="AH10" s="4">
        <f>Affectations!AG9</f>
        <v>0</v>
      </c>
      <c r="AI10" s="4">
        <f>Affectations!AG9</f>
        <v>0</v>
      </c>
      <c r="AJ10" s="4">
        <f>Affectations!AI9</f>
        <v>0</v>
      </c>
      <c r="AK10" s="4">
        <f>Affectations!AI9</f>
        <v>0</v>
      </c>
      <c r="AL10" s="4" t="e">
        <f>Affectations!#REF!</f>
        <v>#REF!</v>
      </c>
      <c r="AM10" s="4" t="e">
        <f>Affectations!#REF!</f>
        <v>#REF!</v>
      </c>
      <c r="AN10" s="4" t="e">
        <f>Affectations!#REF!</f>
        <v>#REF!</v>
      </c>
      <c r="AO10" s="4" t="e">
        <f>Affectations!#REF!</f>
        <v>#REF!</v>
      </c>
    </row>
    <row r="11" spans="3:41" x14ac:dyDescent="0.25">
      <c r="C11" s="4" t="str">
        <f>'E4-2016'!E10</f>
        <v>IMC</v>
      </c>
      <c r="D11" s="4" t="str">
        <f>'E4-2016'!B10</f>
        <v>CFA IMC</v>
      </c>
      <c r="E11" s="4" t="str">
        <f>'E4-2016'!D10</f>
        <v>0755197S</v>
      </c>
      <c r="F11" s="4">
        <f>Affectations!E10</f>
        <v>0</v>
      </c>
      <c r="G11" s="4">
        <f>Affectations!E10</f>
        <v>0</v>
      </c>
      <c r="H11" s="4">
        <f>Affectations!G10</f>
        <v>0</v>
      </c>
      <c r="I11" s="4">
        <f>Affectations!G10</f>
        <v>0</v>
      </c>
      <c r="J11" s="4">
        <f>Affectations!I10</f>
        <v>0</v>
      </c>
      <c r="K11" s="4">
        <f>Affectations!I10</f>
        <v>0</v>
      </c>
      <c r="L11" s="4">
        <f>Affectations!K10</f>
        <v>0</v>
      </c>
      <c r="M11" s="4">
        <f>Affectations!K10</f>
        <v>0</v>
      </c>
      <c r="N11" s="4">
        <f>Affectations!M10</f>
        <v>0</v>
      </c>
      <c r="O11" s="4">
        <f>Affectations!M10</f>
        <v>0</v>
      </c>
      <c r="P11" s="4">
        <f>Affectations!O10</f>
        <v>0</v>
      </c>
      <c r="Q11" s="4">
        <f>Affectations!O10</f>
        <v>0</v>
      </c>
      <c r="R11" s="4">
        <f>Affectations!Q10</f>
        <v>0</v>
      </c>
      <c r="S11" s="4">
        <f>Affectations!Q10</f>
        <v>0</v>
      </c>
      <c r="T11" s="4">
        <f>Affectations!S10</f>
        <v>0</v>
      </c>
      <c r="U11" s="4">
        <f>Affectations!S10</f>
        <v>0</v>
      </c>
      <c r="V11" s="4">
        <f>Affectations!U10</f>
        <v>0</v>
      </c>
      <c r="W11" s="4">
        <f>Affectations!U10</f>
        <v>0</v>
      </c>
      <c r="X11" s="4">
        <f>Affectations!W10</f>
        <v>0</v>
      </c>
      <c r="Y11" s="4">
        <f>Affectations!W10</f>
        <v>0</v>
      </c>
      <c r="Z11" s="4">
        <f>Affectations!Y10</f>
        <v>1</v>
      </c>
      <c r="AA11" s="4">
        <f>Affectations!Y10</f>
        <v>1</v>
      </c>
      <c r="AB11" s="4">
        <f>Affectations!AA10</f>
        <v>1</v>
      </c>
      <c r="AC11" s="4">
        <f>Affectations!AA10</f>
        <v>1</v>
      </c>
      <c r="AD11" s="4">
        <f>Affectations!AC10</f>
        <v>1</v>
      </c>
      <c r="AE11" s="4">
        <f>Affectations!AC10</f>
        <v>1</v>
      </c>
      <c r="AF11" s="4">
        <f>Affectations!AE10</f>
        <v>1</v>
      </c>
      <c r="AG11" s="4">
        <f>Affectations!AE10</f>
        <v>1</v>
      </c>
      <c r="AH11" s="4">
        <f>Affectations!AG10</f>
        <v>0</v>
      </c>
      <c r="AI11" s="4">
        <f>Affectations!AG10</f>
        <v>0</v>
      </c>
      <c r="AJ11" s="4">
        <f>Affectations!AI10</f>
        <v>0</v>
      </c>
      <c r="AK11" s="4">
        <f>Affectations!AI10</f>
        <v>0</v>
      </c>
      <c r="AL11" s="4" t="e">
        <f>Affectations!#REF!</f>
        <v>#REF!</v>
      </c>
      <c r="AM11" s="4" t="e">
        <f>Affectations!#REF!</f>
        <v>#REF!</v>
      </c>
      <c r="AN11" s="4" t="e">
        <f>Affectations!#REF!</f>
        <v>#REF!</v>
      </c>
      <c r="AO11" s="4" t="e">
        <f>Affectations!#REF!</f>
        <v>#REF!</v>
      </c>
    </row>
    <row r="12" spans="3:41" x14ac:dyDescent="0.25">
      <c r="C12" s="4" t="str">
        <f>'E4-2016'!E11</f>
        <v>INSTA</v>
      </c>
      <c r="D12" s="4" t="str">
        <f>'E4-2016'!B11</f>
        <v>INSTA</v>
      </c>
      <c r="E12" s="4" t="str">
        <f>'E4-2016'!D11</f>
        <v>0755294X</v>
      </c>
      <c r="F12" s="4">
        <f>Affectations!E11</f>
        <v>0</v>
      </c>
      <c r="G12" s="4">
        <f>Affectations!E11</f>
        <v>0</v>
      </c>
      <c r="H12" s="4">
        <f>Affectations!G11</f>
        <v>0</v>
      </c>
      <c r="I12" s="4">
        <f>Affectations!G11</f>
        <v>0</v>
      </c>
      <c r="J12" s="4">
        <f>Affectations!I11</f>
        <v>0</v>
      </c>
      <c r="K12" s="4">
        <f>Affectations!I11</f>
        <v>0</v>
      </c>
      <c r="L12" s="4">
        <f>Affectations!K11</f>
        <v>0</v>
      </c>
      <c r="M12" s="4">
        <f>Affectations!K11</f>
        <v>0</v>
      </c>
      <c r="N12" s="4">
        <f>Affectations!M11</f>
        <v>0</v>
      </c>
      <c r="O12" s="4">
        <f>Affectations!M11</f>
        <v>0</v>
      </c>
      <c r="P12" s="4">
        <f>Affectations!O11</f>
        <v>0</v>
      </c>
      <c r="Q12" s="4">
        <f>Affectations!O11</f>
        <v>0</v>
      </c>
      <c r="R12" s="4">
        <f>Affectations!Q11</f>
        <v>0</v>
      </c>
      <c r="S12" s="4">
        <f>Affectations!Q11</f>
        <v>0</v>
      </c>
      <c r="T12" s="4">
        <f>Affectations!S11</f>
        <v>0</v>
      </c>
      <c r="U12" s="4">
        <f>Affectations!S11</f>
        <v>0</v>
      </c>
      <c r="V12" s="4">
        <f>Affectations!U11</f>
        <v>0</v>
      </c>
      <c r="W12" s="4">
        <f>Affectations!U11</f>
        <v>0</v>
      </c>
      <c r="X12" s="4">
        <f>Affectations!W11</f>
        <v>0</v>
      </c>
      <c r="Y12" s="4">
        <f>Affectations!W11</f>
        <v>0</v>
      </c>
      <c r="Z12" s="4">
        <f>Affectations!Y11</f>
        <v>0</v>
      </c>
      <c r="AA12" s="4">
        <f>Affectations!Y11</f>
        <v>0</v>
      </c>
      <c r="AB12" s="4">
        <f>Affectations!AA11</f>
        <v>0</v>
      </c>
      <c r="AC12" s="4">
        <f>Affectations!AA11</f>
        <v>0</v>
      </c>
      <c r="AD12" s="4">
        <f>Affectations!AC11</f>
        <v>0</v>
      </c>
      <c r="AE12" s="4">
        <f>Affectations!AC11</f>
        <v>0</v>
      </c>
      <c r="AF12" s="4">
        <f>Affectations!AE11</f>
        <v>0</v>
      </c>
      <c r="AG12" s="4">
        <f>Affectations!AE11</f>
        <v>0</v>
      </c>
      <c r="AH12" s="4">
        <f>Affectations!AG11</f>
        <v>1</v>
      </c>
      <c r="AI12" s="4">
        <f>Affectations!AG11</f>
        <v>1</v>
      </c>
      <c r="AJ12" s="4">
        <f>Affectations!AI11</f>
        <v>1</v>
      </c>
      <c r="AK12" s="4">
        <f>Affectations!AI11</f>
        <v>1</v>
      </c>
      <c r="AL12" s="4" t="e">
        <f>Affectations!#REF!</f>
        <v>#REF!</v>
      </c>
      <c r="AM12" s="4" t="e">
        <f>Affectations!#REF!</f>
        <v>#REF!</v>
      </c>
      <c r="AN12" s="4" t="e">
        <f>Affectations!#REF!</f>
        <v>#REF!</v>
      </c>
      <c r="AO12" s="4" t="e">
        <f>Affectations!#REF!</f>
        <v>#REF!</v>
      </c>
    </row>
    <row r="13" spans="3:41" x14ac:dyDescent="0.25">
      <c r="C13" s="4" t="str">
        <f>'E4-2016'!E12</f>
        <v>CINST</v>
      </c>
      <c r="D13" s="4" t="str">
        <f>'E4-2016'!B12</f>
        <v>CFA INSTA</v>
      </c>
      <c r="E13" s="4" t="str">
        <f>'E4-2016'!D12</f>
        <v>0755432X</v>
      </c>
      <c r="F13" s="4">
        <f>Affectations!E12</f>
        <v>0</v>
      </c>
      <c r="G13" s="4">
        <f>Affectations!E12</f>
        <v>0</v>
      </c>
      <c r="H13" s="4">
        <f>Affectations!G12</f>
        <v>0</v>
      </c>
      <c r="I13" s="4">
        <f>Affectations!G12</f>
        <v>0</v>
      </c>
      <c r="J13" s="4">
        <f>Affectations!I12</f>
        <v>0</v>
      </c>
      <c r="K13" s="4">
        <f>Affectations!I12</f>
        <v>0</v>
      </c>
      <c r="L13" s="4">
        <f>Affectations!K12</f>
        <v>0</v>
      </c>
      <c r="M13" s="4">
        <f>Affectations!K12</f>
        <v>0</v>
      </c>
      <c r="N13" s="4">
        <f>Affectations!M12</f>
        <v>0</v>
      </c>
      <c r="O13" s="4">
        <f>Affectations!M12</f>
        <v>0</v>
      </c>
      <c r="P13" s="4">
        <f>Affectations!O12</f>
        <v>0</v>
      </c>
      <c r="Q13" s="4">
        <f>Affectations!O12</f>
        <v>0</v>
      </c>
      <c r="R13" s="4">
        <f>Affectations!Q12</f>
        <v>0</v>
      </c>
      <c r="S13" s="4">
        <f>Affectations!Q12</f>
        <v>0</v>
      </c>
      <c r="T13" s="4">
        <f>Affectations!S12</f>
        <v>0</v>
      </c>
      <c r="U13" s="4">
        <f>Affectations!S12</f>
        <v>0</v>
      </c>
      <c r="V13" s="4">
        <f>Affectations!U12</f>
        <v>0</v>
      </c>
      <c r="W13" s="4">
        <f>Affectations!U12</f>
        <v>0</v>
      </c>
      <c r="X13" s="4">
        <f>Affectations!W12</f>
        <v>0</v>
      </c>
      <c r="Y13" s="4">
        <f>Affectations!W12</f>
        <v>0</v>
      </c>
      <c r="Z13" s="4">
        <f>Affectations!Y12</f>
        <v>2</v>
      </c>
      <c r="AA13" s="4">
        <f>Affectations!Y12</f>
        <v>2</v>
      </c>
      <c r="AB13" s="4">
        <f>Affectations!AA12</f>
        <v>2</v>
      </c>
      <c r="AC13" s="4">
        <f>Affectations!AA12</f>
        <v>2</v>
      </c>
      <c r="AD13" s="4">
        <f>Affectations!AC12</f>
        <v>2</v>
      </c>
      <c r="AE13" s="4">
        <f>Affectations!AC12</f>
        <v>2</v>
      </c>
      <c r="AF13" s="4">
        <f>Affectations!AE12</f>
        <v>2</v>
      </c>
      <c r="AG13" s="4">
        <f>Affectations!AE12</f>
        <v>2</v>
      </c>
      <c r="AH13" s="4">
        <f>Affectations!AG12</f>
        <v>2</v>
      </c>
      <c r="AI13" s="4">
        <f>Affectations!AG12</f>
        <v>2</v>
      </c>
      <c r="AJ13" s="4">
        <f>Affectations!AI12</f>
        <v>2</v>
      </c>
      <c r="AK13" s="4">
        <f>Affectations!AI12</f>
        <v>2</v>
      </c>
      <c r="AL13" s="4" t="e">
        <f>Affectations!#REF!</f>
        <v>#REF!</v>
      </c>
      <c r="AM13" s="4" t="e">
        <f>Affectations!#REF!</f>
        <v>#REF!</v>
      </c>
      <c r="AN13" s="4" t="e">
        <f>Affectations!#REF!</f>
        <v>#REF!</v>
      </c>
      <c r="AO13" s="4" t="e">
        <f>Affectations!#REF!</f>
        <v>#REF!</v>
      </c>
    </row>
    <row r="14" spans="3:41" x14ac:dyDescent="0.25">
      <c r="C14" s="4" t="str">
        <f>'E4-2016'!E13</f>
        <v>DID</v>
      </c>
      <c r="D14" s="4" t="str">
        <f>'E4-2016'!B13</f>
        <v>Cours Privé Diderot Paris 11</v>
      </c>
      <c r="E14" s="4" t="str">
        <f>'E4-2016'!D13</f>
        <v>0755559K</v>
      </c>
      <c r="F14" s="4">
        <f>Affectations!E13</f>
        <v>0</v>
      </c>
      <c r="G14" s="4">
        <f>Affectations!E13</f>
        <v>0</v>
      </c>
      <c r="H14" s="4">
        <f>Affectations!G13</f>
        <v>0</v>
      </c>
      <c r="I14" s="4">
        <f>Affectations!G13</f>
        <v>0</v>
      </c>
      <c r="J14" s="4">
        <f>Affectations!I13</f>
        <v>0</v>
      </c>
      <c r="K14" s="4">
        <f>Affectations!I13</f>
        <v>0</v>
      </c>
      <c r="L14" s="4">
        <f>Affectations!K13</f>
        <v>0</v>
      </c>
      <c r="M14" s="4">
        <f>Affectations!K13</f>
        <v>0</v>
      </c>
      <c r="N14" s="4">
        <f>Affectations!M13</f>
        <v>0</v>
      </c>
      <c r="O14" s="4">
        <f>Affectations!M13</f>
        <v>0</v>
      </c>
      <c r="P14" s="4">
        <f>Affectations!O13</f>
        <v>0</v>
      </c>
      <c r="Q14" s="4">
        <f>Affectations!O13</f>
        <v>0</v>
      </c>
      <c r="R14" s="4">
        <f>Affectations!Q13</f>
        <v>0</v>
      </c>
      <c r="S14" s="4">
        <f>Affectations!Q13</f>
        <v>0</v>
      </c>
      <c r="T14" s="4">
        <f>Affectations!S13</f>
        <v>0</v>
      </c>
      <c r="U14" s="4">
        <f>Affectations!S13</f>
        <v>0</v>
      </c>
      <c r="V14" s="4">
        <f>Affectations!U13</f>
        <v>0</v>
      </c>
      <c r="W14" s="4">
        <f>Affectations!U13</f>
        <v>0</v>
      </c>
      <c r="X14" s="4">
        <f>Affectations!W13</f>
        <v>0</v>
      </c>
      <c r="Y14" s="4">
        <f>Affectations!W13</f>
        <v>0</v>
      </c>
      <c r="Z14" s="4">
        <f>Affectations!Y13</f>
        <v>0</v>
      </c>
      <c r="AA14" s="4">
        <f>Affectations!Y13</f>
        <v>0</v>
      </c>
      <c r="AB14" s="4">
        <f>Affectations!AA13</f>
        <v>0</v>
      </c>
      <c r="AC14" s="4">
        <f>Affectations!AA13</f>
        <v>0</v>
      </c>
      <c r="AD14" s="4">
        <f>Affectations!AC13</f>
        <v>0</v>
      </c>
      <c r="AE14" s="4">
        <f>Affectations!AC13</f>
        <v>0</v>
      </c>
      <c r="AF14" s="4">
        <f>Affectations!AE13</f>
        <v>0</v>
      </c>
      <c r="AG14" s="4">
        <f>Affectations!AE13</f>
        <v>0</v>
      </c>
      <c r="AH14" s="4">
        <f>Affectations!AG13</f>
        <v>0</v>
      </c>
      <c r="AI14" s="4">
        <f>Affectations!AG13</f>
        <v>0</v>
      </c>
      <c r="AJ14" s="4">
        <f>Affectations!AI13</f>
        <v>1</v>
      </c>
      <c r="AK14" s="4">
        <f>Affectations!AI13</f>
        <v>1</v>
      </c>
      <c r="AL14" s="4" t="e">
        <f>Affectations!#REF!</f>
        <v>#REF!</v>
      </c>
      <c r="AM14" s="4" t="e">
        <f>Affectations!#REF!</f>
        <v>#REF!</v>
      </c>
      <c r="AN14" s="4" t="e">
        <f>Affectations!#REF!</f>
        <v>#REF!</v>
      </c>
      <c r="AO14" s="4" t="e">
        <f>Affectations!#REF!</f>
        <v>#REF!</v>
      </c>
    </row>
    <row r="15" spans="3:41" x14ac:dyDescent="0.25">
      <c r="C15" s="4" t="str">
        <f>'E4-2016'!E14</f>
        <v>ISMI</v>
      </c>
      <c r="D15" s="4" t="str">
        <f>'E4-2016'!B14</f>
        <v>ISMI</v>
      </c>
      <c r="E15" s="4" t="str">
        <f>'E4-2016'!D14</f>
        <v>0755577E</v>
      </c>
      <c r="F15" s="4">
        <f>Affectations!E14</f>
        <v>0</v>
      </c>
      <c r="G15" s="4">
        <f>Affectations!E14</f>
        <v>0</v>
      </c>
      <c r="H15" s="4">
        <f>Affectations!G14</f>
        <v>0</v>
      </c>
      <c r="I15" s="4">
        <f>Affectations!G14</f>
        <v>0</v>
      </c>
      <c r="J15" s="4">
        <f>Affectations!I14</f>
        <v>0</v>
      </c>
      <c r="K15" s="4">
        <f>Affectations!I14</f>
        <v>0</v>
      </c>
      <c r="L15" s="4">
        <f>Affectations!K14</f>
        <v>0</v>
      </c>
      <c r="M15" s="4">
        <f>Affectations!K14</f>
        <v>0</v>
      </c>
      <c r="N15" s="4">
        <f>Affectations!M14</f>
        <v>0</v>
      </c>
      <c r="O15" s="4">
        <f>Affectations!M14</f>
        <v>0</v>
      </c>
      <c r="P15" s="4">
        <f>Affectations!O14</f>
        <v>0</v>
      </c>
      <c r="Q15" s="4">
        <f>Affectations!O14</f>
        <v>0</v>
      </c>
      <c r="R15" s="4">
        <f>Affectations!Q14</f>
        <v>0</v>
      </c>
      <c r="S15" s="4">
        <f>Affectations!Q14</f>
        <v>0</v>
      </c>
      <c r="T15" s="4">
        <f>Affectations!S14</f>
        <v>0</v>
      </c>
      <c r="U15" s="4">
        <f>Affectations!S14</f>
        <v>0</v>
      </c>
      <c r="V15" s="4">
        <f>Affectations!U14</f>
        <v>0</v>
      </c>
      <c r="W15" s="4">
        <f>Affectations!U14</f>
        <v>0</v>
      </c>
      <c r="X15" s="4">
        <f>Affectations!W14</f>
        <v>0</v>
      </c>
      <c r="Y15" s="4">
        <f>Affectations!W14</f>
        <v>0</v>
      </c>
      <c r="Z15" s="4">
        <f>Affectations!Y14</f>
        <v>0</v>
      </c>
      <c r="AA15" s="4">
        <f>Affectations!Y14</f>
        <v>0</v>
      </c>
      <c r="AB15" s="4">
        <f>Affectations!AA14</f>
        <v>0</v>
      </c>
      <c r="AC15" s="4">
        <f>Affectations!AA14</f>
        <v>0</v>
      </c>
      <c r="AD15" s="4">
        <f>Affectations!AC14</f>
        <v>0</v>
      </c>
      <c r="AE15" s="4">
        <f>Affectations!AC14</f>
        <v>0</v>
      </c>
      <c r="AF15" s="4">
        <f>Affectations!AE14</f>
        <v>0</v>
      </c>
      <c r="AG15" s="4">
        <f>Affectations!AE14</f>
        <v>0</v>
      </c>
      <c r="AH15" s="4">
        <f>Affectations!AG14</f>
        <v>0</v>
      </c>
      <c r="AI15" s="4">
        <f>Affectations!AG14</f>
        <v>0</v>
      </c>
      <c r="AJ15" s="4">
        <f>Affectations!AI14</f>
        <v>0</v>
      </c>
      <c r="AK15" s="4">
        <f>Affectations!AI14</f>
        <v>0</v>
      </c>
      <c r="AL15" s="4" t="e">
        <f>Affectations!#REF!</f>
        <v>#REF!</v>
      </c>
      <c r="AM15" s="4" t="e">
        <f>Affectations!#REF!</f>
        <v>#REF!</v>
      </c>
      <c r="AN15" s="4" t="e">
        <f>Affectations!#REF!</f>
        <v>#REF!</v>
      </c>
      <c r="AO15" s="4" t="e">
        <f>Affectations!#REF!</f>
        <v>#REF!</v>
      </c>
    </row>
    <row r="16" spans="3:41" x14ac:dyDescent="0.25">
      <c r="C16" s="4" t="str">
        <f>'E4-2016'!E15</f>
        <v>IPSS</v>
      </c>
      <c r="D16" s="4" t="str">
        <f>'E4-2016'!B15</f>
        <v>IPSSI</v>
      </c>
      <c r="E16" s="4" t="str">
        <f>'E4-2016'!D15</f>
        <v>0755724P</v>
      </c>
      <c r="F16" s="4">
        <f>Affectations!E15</f>
        <v>0</v>
      </c>
      <c r="G16" s="4">
        <f>Affectations!E15</f>
        <v>0</v>
      </c>
      <c r="H16" s="4">
        <f>Affectations!G15</f>
        <v>0</v>
      </c>
      <c r="I16" s="4">
        <f>Affectations!G15</f>
        <v>0</v>
      </c>
      <c r="J16" s="4">
        <f>Affectations!I15</f>
        <v>0</v>
      </c>
      <c r="K16" s="4">
        <f>Affectations!I15</f>
        <v>0</v>
      </c>
      <c r="L16" s="4">
        <f>Affectations!K15</f>
        <v>0</v>
      </c>
      <c r="M16" s="4">
        <f>Affectations!K15</f>
        <v>0</v>
      </c>
      <c r="N16" s="4">
        <f>Affectations!M15</f>
        <v>0</v>
      </c>
      <c r="O16" s="4">
        <f>Affectations!M15</f>
        <v>0</v>
      </c>
      <c r="P16" s="4">
        <f>Affectations!O15</f>
        <v>2</v>
      </c>
      <c r="Q16" s="4">
        <f>Affectations!O15</f>
        <v>2</v>
      </c>
      <c r="R16" s="4">
        <f>Affectations!Q15</f>
        <v>2</v>
      </c>
      <c r="S16" s="4">
        <f>Affectations!Q15</f>
        <v>2</v>
      </c>
      <c r="T16" s="4">
        <f>Affectations!S15</f>
        <v>2</v>
      </c>
      <c r="U16" s="4">
        <f>Affectations!S15</f>
        <v>2</v>
      </c>
      <c r="V16" s="4">
        <f>Affectations!U15</f>
        <v>2</v>
      </c>
      <c r="W16" s="4">
        <f>Affectations!U15</f>
        <v>2</v>
      </c>
      <c r="X16" s="4">
        <f>Affectations!W15</f>
        <v>2</v>
      </c>
      <c r="Y16" s="4">
        <f>Affectations!W15</f>
        <v>2</v>
      </c>
      <c r="Z16" s="4">
        <f>Affectations!Y15</f>
        <v>2</v>
      </c>
      <c r="AA16" s="4">
        <f>Affectations!Y15</f>
        <v>2</v>
      </c>
      <c r="AB16" s="4">
        <f>Affectations!AA15</f>
        <v>2</v>
      </c>
      <c r="AC16" s="4">
        <f>Affectations!AA15</f>
        <v>2</v>
      </c>
      <c r="AD16" s="4">
        <f>Affectations!AC15</f>
        <v>2</v>
      </c>
      <c r="AE16" s="4">
        <f>Affectations!AC15</f>
        <v>2</v>
      </c>
      <c r="AF16" s="4">
        <f>Affectations!AE15</f>
        <v>0</v>
      </c>
      <c r="AG16" s="4">
        <f>Affectations!AE15</f>
        <v>0</v>
      </c>
      <c r="AH16" s="4">
        <f>Affectations!AG15</f>
        <v>0</v>
      </c>
      <c r="AI16" s="4">
        <f>Affectations!AG15</f>
        <v>0</v>
      </c>
      <c r="AJ16" s="4">
        <f>Affectations!AI15</f>
        <v>0</v>
      </c>
      <c r="AK16" s="4">
        <f>Affectations!AI15</f>
        <v>0</v>
      </c>
      <c r="AL16" s="4" t="e">
        <f>Affectations!#REF!</f>
        <v>#REF!</v>
      </c>
      <c r="AM16" s="4" t="e">
        <f>Affectations!#REF!</f>
        <v>#REF!</v>
      </c>
      <c r="AN16" s="4" t="e">
        <f>Affectations!#REF!</f>
        <v>#REF!</v>
      </c>
      <c r="AO16" s="4" t="e">
        <f>Affectations!#REF!</f>
        <v>#REF!</v>
      </c>
    </row>
    <row r="17" spans="3:41" x14ac:dyDescent="0.25">
      <c r="C17" s="4" t="str">
        <f>'E4-2016'!E16</f>
        <v>IRIS</v>
      </c>
      <c r="D17" s="4" t="str">
        <f>'E4-2016'!B16</f>
        <v>IRIS</v>
      </c>
      <c r="E17" s="4" t="str">
        <f>'E4-2016'!D16</f>
        <v>0755748R</v>
      </c>
      <c r="F17" s="4">
        <f>Affectations!E16</f>
        <v>3</v>
      </c>
      <c r="G17" s="4">
        <f>Affectations!E16</f>
        <v>3</v>
      </c>
      <c r="H17" s="4">
        <f>Affectations!G16</f>
        <v>3</v>
      </c>
      <c r="I17" s="4">
        <f>Affectations!G16</f>
        <v>3</v>
      </c>
      <c r="J17" s="4">
        <f>Affectations!I16</f>
        <v>3</v>
      </c>
      <c r="K17" s="4">
        <f>Affectations!I16</f>
        <v>3</v>
      </c>
      <c r="L17" s="4">
        <f>Affectations!K16</f>
        <v>3</v>
      </c>
      <c r="M17" s="4">
        <f>Affectations!K16</f>
        <v>3</v>
      </c>
      <c r="N17" s="4">
        <f>Affectations!M16</f>
        <v>2</v>
      </c>
      <c r="O17" s="4">
        <f>Affectations!M16</f>
        <v>2</v>
      </c>
      <c r="P17" s="4">
        <f>Affectations!O16</f>
        <v>2</v>
      </c>
      <c r="Q17" s="4">
        <f>Affectations!O16</f>
        <v>2</v>
      </c>
      <c r="R17" s="4">
        <f>Affectations!Q16</f>
        <v>2</v>
      </c>
      <c r="S17" s="4">
        <f>Affectations!Q16</f>
        <v>2</v>
      </c>
      <c r="T17" s="4">
        <f>Affectations!S16</f>
        <v>2</v>
      </c>
      <c r="U17" s="4">
        <f>Affectations!S16</f>
        <v>2</v>
      </c>
      <c r="V17" s="4">
        <f>Affectations!U16</f>
        <v>2</v>
      </c>
      <c r="W17" s="4">
        <f>Affectations!U16</f>
        <v>2</v>
      </c>
      <c r="X17" s="4">
        <f>Affectations!W16</f>
        <v>2</v>
      </c>
      <c r="Y17" s="4">
        <f>Affectations!W16</f>
        <v>2</v>
      </c>
      <c r="Z17" s="4">
        <f>Affectations!Y16</f>
        <v>2</v>
      </c>
      <c r="AA17" s="4">
        <f>Affectations!Y16</f>
        <v>2</v>
      </c>
      <c r="AB17" s="4">
        <f>Affectations!AA16</f>
        <v>2</v>
      </c>
      <c r="AC17" s="4">
        <f>Affectations!AA16</f>
        <v>2</v>
      </c>
      <c r="AD17" s="4">
        <f>Affectations!AC16</f>
        <v>2</v>
      </c>
      <c r="AE17" s="4">
        <f>Affectations!AC16</f>
        <v>2</v>
      </c>
      <c r="AF17" s="4">
        <f>Affectations!AE16</f>
        <v>2</v>
      </c>
      <c r="AG17" s="4">
        <f>Affectations!AE16</f>
        <v>2</v>
      </c>
      <c r="AH17" s="4">
        <f>Affectations!AG16</f>
        <v>2</v>
      </c>
      <c r="AI17" s="4">
        <f>Affectations!AG16</f>
        <v>2</v>
      </c>
      <c r="AJ17" s="4">
        <f>Affectations!AI16</f>
        <v>2</v>
      </c>
      <c r="AK17" s="4">
        <f>Affectations!AI16</f>
        <v>2</v>
      </c>
      <c r="AL17" s="4" t="e">
        <f>Affectations!#REF!</f>
        <v>#REF!</v>
      </c>
      <c r="AM17" s="4" t="e">
        <f>Affectations!#REF!</f>
        <v>#REF!</v>
      </c>
      <c r="AN17" s="4" t="e">
        <f>Affectations!#REF!</f>
        <v>#REF!</v>
      </c>
      <c r="AO17" s="4" t="e">
        <f>Affectations!#REF!</f>
        <v>#REF!</v>
      </c>
    </row>
    <row r="18" spans="3:41" x14ac:dyDescent="0.25">
      <c r="C18" s="4" t="str">
        <f>'E4-2016'!E17</f>
        <v>APEP</v>
      </c>
      <c r="D18" s="4" t="str">
        <f>'E4-2016'!B17</f>
        <v>APEP SUP</v>
      </c>
      <c r="E18" s="4" t="str">
        <f>'E4-2016'!D17</f>
        <v>0755775V</v>
      </c>
      <c r="F18" s="4">
        <f>Affectations!E17</f>
        <v>0</v>
      </c>
      <c r="G18" s="4">
        <f>Affectations!E17</f>
        <v>0</v>
      </c>
      <c r="H18" s="4">
        <f>Affectations!G17</f>
        <v>0</v>
      </c>
      <c r="I18" s="4">
        <f>Affectations!G17</f>
        <v>0</v>
      </c>
      <c r="J18" s="4">
        <f>Affectations!I17</f>
        <v>0</v>
      </c>
      <c r="K18" s="4">
        <f>Affectations!I17</f>
        <v>0</v>
      </c>
      <c r="L18" s="4">
        <f>Affectations!K17</f>
        <v>0</v>
      </c>
      <c r="M18" s="4">
        <f>Affectations!K17</f>
        <v>0</v>
      </c>
      <c r="N18" s="4">
        <f>Affectations!M17</f>
        <v>0</v>
      </c>
      <c r="O18" s="4">
        <f>Affectations!M17</f>
        <v>0</v>
      </c>
      <c r="P18" s="4">
        <f>Affectations!O17</f>
        <v>0</v>
      </c>
      <c r="Q18" s="4">
        <f>Affectations!O17</f>
        <v>0</v>
      </c>
      <c r="R18" s="4">
        <f>Affectations!Q17</f>
        <v>0</v>
      </c>
      <c r="S18" s="4">
        <f>Affectations!Q17</f>
        <v>0</v>
      </c>
      <c r="T18" s="4">
        <f>Affectations!S17</f>
        <v>0</v>
      </c>
      <c r="U18" s="4">
        <f>Affectations!S17</f>
        <v>0</v>
      </c>
      <c r="V18" s="4">
        <f>Affectations!U17</f>
        <v>0</v>
      </c>
      <c r="W18" s="4">
        <f>Affectations!U17</f>
        <v>0</v>
      </c>
      <c r="X18" s="4">
        <f>Affectations!W17</f>
        <v>0</v>
      </c>
      <c r="Y18" s="4">
        <f>Affectations!W17</f>
        <v>0</v>
      </c>
      <c r="Z18" s="4">
        <f>Affectations!Y17</f>
        <v>0</v>
      </c>
      <c r="AA18" s="4">
        <f>Affectations!Y17</f>
        <v>0</v>
      </c>
      <c r="AB18" s="4">
        <f>Affectations!AA17</f>
        <v>0</v>
      </c>
      <c r="AC18" s="4">
        <f>Affectations!AA17</f>
        <v>0</v>
      </c>
      <c r="AD18" s="4">
        <f>Affectations!AC17</f>
        <v>0</v>
      </c>
      <c r="AE18" s="4">
        <f>Affectations!AC17</f>
        <v>0</v>
      </c>
      <c r="AF18" s="4">
        <f>Affectations!AE17</f>
        <v>2</v>
      </c>
      <c r="AG18" s="4">
        <f>Affectations!AE17</f>
        <v>2</v>
      </c>
      <c r="AH18" s="4">
        <f>Affectations!AG17</f>
        <v>2</v>
      </c>
      <c r="AI18" s="4">
        <f>Affectations!AG17</f>
        <v>2</v>
      </c>
      <c r="AJ18" s="4">
        <f>Affectations!AI17</f>
        <v>2</v>
      </c>
      <c r="AK18" s="4">
        <f>Affectations!AI17</f>
        <v>2</v>
      </c>
      <c r="AL18" s="4" t="e">
        <f>Affectations!#REF!</f>
        <v>#REF!</v>
      </c>
      <c r="AM18" s="4" t="e">
        <f>Affectations!#REF!</f>
        <v>#REF!</v>
      </c>
      <c r="AN18" s="4" t="e">
        <f>Affectations!#REF!</f>
        <v>#REF!</v>
      </c>
      <c r="AO18" s="4" t="e">
        <f>Affectations!#REF!</f>
        <v>#REF!</v>
      </c>
    </row>
    <row r="19" spans="3:41" x14ac:dyDescent="0.25">
      <c r="C19" s="4" t="str">
        <f>'E4-2016'!E18</f>
        <v>ADG</v>
      </c>
      <c r="D19" s="4" t="str">
        <f>'E4-2016'!B18</f>
        <v>ADG</v>
      </c>
      <c r="E19" s="4" t="str">
        <f>'E4-2016'!D18</f>
        <v>0755827B</v>
      </c>
      <c r="F19" s="4">
        <f>Affectations!E18</f>
        <v>0</v>
      </c>
      <c r="G19" s="4">
        <f>Affectations!E18</f>
        <v>0</v>
      </c>
      <c r="H19" s="4">
        <f>Affectations!G18</f>
        <v>0</v>
      </c>
      <c r="I19" s="4">
        <f>Affectations!G18</f>
        <v>0</v>
      </c>
      <c r="J19" s="4">
        <f>Affectations!I18</f>
        <v>0</v>
      </c>
      <c r="K19" s="4">
        <f>Affectations!I18</f>
        <v>0</v>
      </c>
      <c r="L19" s="4">
        <f>Affectations!K18</f>
        <v>0</v>
      </c>
      <c r="M19" s="4">
        <f>Affectations!K18</f>
        <v>0</v>
      </c>
      <c r="N19" s="4">
        <f>Affectations!M18</f>
        <v>0</v>
      </c>
      <c r="O19" s="4">
        <f>Affectations!M18</f>
        <v>0</v>
      </c>
      <c r="P19" s="4">
        <f>Affectations!O18</f>
        <v>0</v>
      </c>
      <c r="Q19" s="4">
        <f>Affectations!O18</f>
        <v>0</v>
      </c>
      <c r="R19" s="4">
        <f>Affectations!Q18</f>
        <v>0</v>
      </c>
      <c r="S19" s="4">
        <f>Affectations!Q18</f>
        <v>0</v>
      </c>
      <c r="T19" s="4">
        <f>Affectations!S18</f>
        <v>0</v>
      </c>
      <c r="U19" s="4">
        <f>Affectations!S18</f>
        <v>0</v>
      </c>
      <c r="V19" s="4">
        <f>Affectations!U18</f>
        <v>0</v>
      </c>
      <c r="W19" s="4">
        <f>Affectations!U18</f>
        <v>0</v>
      </c>
      <c r="X19" s="4">
        <f>Affectations!W18</f>
        <v>0</v>
      </c>
      <c r="Y19" s="4">
        <f>Affectations!W18</f>
        <v>0</v>
      </c>
      <c r="Z19" s="4">
        <f>Affectations!Y18</f>
        <v>0</v>
      </c>
      <c r="AA19" s="4">
        <f>Affectations!Y18</f>
        <v>0</v>
      </c>
      <c r="AB19" s="4">
        <f>Affectations!AA18</f>
        <v>0</v>
      </c>
      <c r="AC19" s="4">
        <f>Affectations!AA18</f>
        <v>0</v>
      </c>
      <c r="AD19" s="4">
        <f>Affectations!AC18</f>
        <v>0</v>
      </c>
      <c r="AE19" s="4">
        <f>Affectations!AC18</f>
        <v>0</v>
      </c>
      <c r="AF19" s="4">
        <f>Affectations!AE18</f>
        <v>1</v>
      </c>
      <c r="AG19" s="4">
        <f>Affectations!AE18</f>
        <v>1</v>
      </c>
      <c r="AH19" s="4">
        <f>Affectations!AG18</f>
        <v>1</v>
      </c>
      <c r="AI19" s="4">
        <f>Affectations!AG18</f>
        <v>1</v>
      </c>
      <c r="AJ19" s="4">
        <f>Affectations!AI18</f>
        <v>1</v>
      </c>
      <c r="AK19" s="4">
        <f>Affectations!AI18</f>
        <v>1</v>
      </c>
      <c r="AL19" s="4" t="e">
        <f>Affectations!#REF!</f>
        <v>#REF!</v>
      </c>
      <c r="AM19" s="4" t="e">
        <f>Affectations!#REF!</f>
        <v>#REF!</v>
      </c>
      <c r="AN19" s="4" t="e">
        <f>Affectations!#REF!</f>
        <v>#REF!</v>
      </c>
      <c r="AO19" s="4" t="e">
        <f>Affectations!#REF!</f>
        <v>#REF!</v>
      </c>
    </row>
    <row r="20" spans="3:41" x14ac:dyDescent="0.25">
      <c r="C20" s="4" t="str">
        <f>'E4-2016'!E19</f>
        <v>INST</v>
      </c>
      <c r="D20" s="4" t="str">
        <f>'E4-2016'!B19</f>
        <v>INSTA Paris</v>
      </c>
      <c r="E20" s="4" t="str">
        <f>'E4-2016'!D19</f>
        <v>0755931P</v>
      </c>
      <c r="F20" s="4">
        <f>Affectations!E19</f>
        <v>0</v>
      </c>
      <c r="G20" s="4">
        <f>Affectations!E19</f>
        <v>0</v>
      </c>
      <c r="H20" s="4">
        <f>Affectations!G19</f>
        <v>0</v>
      </c>
      <c r="I20" s="4">
        <f>Affectations!G19</f>
        <v>0</v>
      </c>
      <c r="J20" s="4">
        <f>Affectations!I19</f>
        <v>0</v>
      </c>
      <c r="K20" s="4">
        <f>Affectations!I19</f>
        <v>0</v>
      </c>
      <c r="L20" s="4">
        <f>Affectations!K19</f>
        <v>0</v>
      </c>
      <c r="M20" s="4">
        <f>Affectations!K19</f>
        <v>0</v>
      </c>
      <c r="N20" s="4">
        <f>Affectations!M19</f>
        <v>0</v>
      </c>
      <c r="O20" s="4">
        <f>Affectations!M19</f>
        <v>0</v>
      </c>
      <c r="P20" s="4">
        <f>Affectations!O19</f>
        <v>0</v>
      </c>
      <c r="Q20" s="4">
        <f>Affectations!O19</f>
        <v>0</v>
      </c>
      <c r="R20" s="4">
        <f>Affectations!Q19</f>
        <v>0</v>
      </c>
      <c r="S20" s="4">
        <f>Affectations!Q19</f>
        <v>0</v>
      </c>
      <c r="T20" s="4">
        <f>Affectations!S19</f>
        <v>0</v>
      </c>
      <c r="U20" s="4">
        <f>Affectations!S19</f>
        <v>0</v>
      </c>
      <c r="V20" s="4">
        <f>Affectations!U19</f>
        <v>1</v>
      </c>
      <c r="W20" s="4">
        <f>Affectations!U19</f>
        <v>1</v>
      </c>
      <c r="X20" s="4">
        <f>Affectations!W19</f>
        <v>2</v>
      </c>
      <c r="Y20" s="4">
        <f>Affectations!W19</f>
        <v>2</v>
      </c>
      <c r="Z20" s="4">
        <f>Affectations!Y19</f>
        <v>2</v>
      </c>
      <c r="AA20" s="4">
        <f>Affectations!Y19</f>
        <v>2</v>
      </c>
      <c r="AB20" s="4">
        <f>Affectations!AA19</f>
        <v>2</v>
      </c>
      <c r="AC20" s="4">
        <f>Affectations!AA19</f>
        <v>2</v>
      </c>
      <c r="AD20" s="4">
        <f>Affectations!AC19</f>
        <v>2</v>
      </c>
      <c r="AE20" s="4">
        <f>Affectations!AC19</f>
        <v>2</v>
      </c>
      <c r="AF20" s="4">
        <f>Affectations!AE19</f>
        <v>0</v>
      </c>
      <c r="AG20" s="4">
        <f>Affectations!AE19</f>
        <v>0</v>
      </c>
      <c r="AH20" s="4">
        <f>Affectations!AG19</f>
        <v>0</v>
      </c>
      <c r="AI20" s="4">
        <f>Affectations!AG19</f>
        <v>0</v>
      </c>
      <c r="AJ20" s="4">
        <f>Affectations!AI19</f>
        <v>0</v>
      </c>
      <c r="AK20" s="4">
        <f>Affectations!AI19</f>
        <v>0</v>
      </c>
      <c r="AL20" s="4" t="e">
        <f>Affectations!#REF!</f>
        <v>#REF!</v>
      </c>
      <c r="AM20" s="4" t="e">
        <f>Affectations!#REF!</f>
        <v>#REF!</v>
      </c>
      <c r="AN20" s="4" t="e">
        <f>Affectations!#REF!</f>
        <v>#REF!</v>
      </c>
      <c r="AO20" s="4" t="e">
        <f>Affectations!#REF!</f>
        <v>#REF!</v>
      </c>
    </row>
    <row r="21" spans="3:41" x14ac:dyDescent="0.25">
      <c r="C21" s="4" t="str">
        <f>'E4-2016'!E20</f>
        <v>INGT</v>
      </c>
      <c r="D21" s="4" t="str">
        <f>'E4-2016'!B20</f>
        <v>INGETIS Paris</v>
      </c>
      <c r="E21" s="4" t="str">
        <f>'E4-2016'!D20</f>
        <v>0755934T</v>
      </c>
      <c r="F21" s="4">
        <f>Affectations!E20</f>
        <v>2</v>
      </c>
      <c r="G21" s="4">
        <f>Affectations!E20</f>
        <v>2</v>
      </c>
      <c r="H21" s="4">
        <f>Affectations!G20</f>
        <v>2</v>
      </c>
      <c r="I21" s="4">
        <f>Affectations!G20</f>
        <v>2</v>
      </c>
      <c r="J21" s="4">
        <f>Affectations!I20</f>
        <v>2</v>
      </c>
      <c r="K21" s="4">
        <f>Affectations!I20</f>
        <v>2</v>
      </c>
      <c r="L21" s="4">
        <f>Affectations!K20</f>
        <v>2</v>
      </c>
      <c r="M21" s="4">
        <f>Affectations!K20</f>
        <v>2</v>
      </c>
      <c r="N21" s="4">
        <f>Affectations!M20</f>
        <v>1</v>
      </c>
      <c r="O21" s="4">
        <f>Affectations!M20</f>
        <v>1</v>
      </c>
      <c r="P21" s="4">
        <f>Affectations!O20</f>
        <v>0</v>
      </c>
      <c r="Q21" s="4">
        <f>Affectations!O20</f>
        <v>0</v>
      </c>
      <c r="R21" s="4">
        <f>Affectations!Q20</f>
        <v>0</v>
      </c>
      <c r="S21" s="4">
        <f>Affectations!Q20</f>
        <v>0</v>
      </c>
      <c r="T21" s="4">
        <f>Affectations!S20</f>
        <v>0</v>
      </c>
      <c r="U21" s="4">
        <f>Affectations!S20</f>
        <v>0</v>
      </c>
      <c r="V21" s="4">
        <f>Affectations!U20</f>
        <v>0</v>
      </c>
      <c r="W21" s="4">
        <f>Affectations!U20</f>
        <v>0</v>
      </c>
      <c r="X21" s="4">
        <f>Affectations!W20</f>
        <v>0</v>
      </c>
      <c r="Y21" s="4">
        <f>Affectations!W20</f>
        <v>0</v>
      </c>
      <c r="Z21" s="4">
        <f>Affectations!Y20</f>
        <v>0</v>
      </c>
      <c r="AA21" s="4">
        <f>Affectations!Y20</f>
        <v>0</v>
      </c>
      <c r="AB21" s="4">
        <f>Affectations!AA20</f>
        <v>0</v>
      </c>
      <c r="AC21" s="4">
        <f>Affectations!AA20</f>
        <v>0</v>
      </c>
      <c r="AD21" s="4">
        <f>Affectations!AC20</f>
        <v>0</v>
      </c>
      <c r="AE21" s="4">
        <f>Affectations!AC20</f>
        <v>0</v>
      </c>
      <c r="AF21" s="4">
        <f>Affectations!AE20</f>
        <v>0</v>
      </c>
      <c r="AG21" s="4">
        <f>Affectations!AE20</f>
        <v>0</v>
      </c>
      <c r="AH21" s="4">
        <f>Affectations!AG20</f>
        <v>0</v>
      </c>
      <c r="AI21" s="4">
        <f>Affectations!AG20</f>
        <v>0</v>
      </c>
      <c r="AJ21" s="4">
        <f>Affectations!AI20</f>
        <v>0</v>
      </c>
      <c r="AK21" s="4">
        <f>Affectations!AI20</f>
        <v>0</v>
      </c>
      <c r="AL21" s="4" t="e">
        <f>Affectations!#REF!</f>
        <v>#REF!</v>
      </c>
      <c r="AM21" s="4" t="e">
        <f>Affectations!#REF!</f>
        <v>#REF!</v>
      </c>
      <c r="AN21" s="4" t="e">
        <f>Affectations!#REF!</f>
        <v>#REF!</v>
      </c>
      <c r="AO21" s="4" t="e">
        <f>Affectations!#REF!</f>
        <v>#REF!</v>
      </c>
    </row>
    <row r="22" spans="3:41" x14ac:dyDescent="0.25">
      <c r="C22" s="4" t="str">
        <f>'E4-2016'!E21</f>
        <v>SCHN</v>
      </c>
      <c r="D22" s="4" t="str">
        <f>'E4-2016'!B21</f>
        <v>SCHOLA NOVA</v>
      </c>
      <c r="E22" s="4" t="str">
        <f>'E4-2016'!D21</f>
        <v>0756002S</v>
      </c>
      <c r="F22" s="4">
        <f>Affectations!E21</f>
        <v>0</v>
      </c>
      <c r="G22" s="4">
        <f>Affectations!E21</f>
        <v>0</v>
      </c>
      <c r="H22" s="4">
        <f>Affectations!G21</f>
        <v>0</v>
      </c>
      <c r="I22" s="4">
        <f>Affectations!G21</f>
        <v>0</v>
      </c>
      <c r="J22" s="4">
        <f>Affectations!I21</f>
        <v>0</v>
      </c>
      <c r="K22" s="4">
        <f>Affectations!I21</f>
        <v>0</v>
      </c>
      <c r="L22" s="4">
        <f>Affectations!K21</f>
        <v>0</v>
      </c>
      <c r="M22" s="4">
        <f>Affectations!K21</f>
        <v>0</v>
      </c>
      <c r="N22" s="4">
        <f>Affectations!M21</f>
        <v>1</v>
      </c>
      <c r="O22" s="4">
        <f>Affectations!M21</f>
        <v>1</v>
      </c>
      <c r="P22" s="4">
        <f>Affectations!O21</f>
        <v>0</v>
      </c>
      <c r="Q22" s="4">
        <f>Affectations!O21</f>
        <v>0</v>
      </c>
      <c r="R22" s="4">
        <f>Affectations!Q21</f>
        <v>0</v>
      </c>
      <c r="S22" s="4">
        <f>Affectations!Q21</f>
        <v>0</v>
      </c>
      <c r="T22" s="4">
        <f>Affectations!S21</f>
        <v>0</v>
      </c>
      <c r="U22" s="4">
        <f>Affectations!S21</f>
        <v>0</v>
      </c>
      <c r="V22" s="4">
        <f>Affectations!U21</f>
        <v>0</v>
      </c>
      <c r="W22" s="4">
        <f>Affectations!U21</f>
        <v>0</v>
      </c>
      <c r="X22" s="4">
        <f>Affectations!W21</f>
        <v>0</v>
      </c>
      <c r="Y22" s="4">
        <f>Affectations!W21</f>
        <v>0</v>
      </c>
      <c r="Z22" s="4">
        <f>Affectations!Y21</f>
        <v>0</v>
      </c>
      <c r="AA22" s="4">
        <f>Affectations!Y21</f>
        <v>0</v>
      </c>
      <c r="AB22" s="4">
        <f>Affectations!AA21</f>
        <v>0</v>
      </c>
      <c r="AC22" s="4">
        <f>Affectations!AA21</f>
        <v>0</v>
      </c>
      <c r="AD22" s="4">
        <f>Affectations!AC21</f>
        <v>0</v>
      </c>
      <c r="AE22" s="4">
        <f>Affectations!AC21</f>
        <v>0</v>
      </c>
      <c r="AF22" s="4">
        <f>Affectations!AE21</f>
        <v>1</v>
      </c>
      <c r="AG22" s="4">
        <f>Affectations!AE21</f>
        <v>1</v>
      </c>
      <c r="AH22" s="4">
        <f>Affectations!AG21</f>
        <v>1</v>
      </c>
      <c r="AI22" s="4">
        <f>Affectations!AG21</f>
        <v>1</v>
      </c>
      <c r="AJ22" s="4">
        <f>Affectations!AI21</f>
        <v>1</v>
      </c>
      <c r="AK22" s="4">
        <f>Affectations!AI21</f>
        <v>1</v>
      </c>
      <c r="AL22" s="4" t="e">
        <f>Affectations!#REF!</f>
        <v>#REF!</v>
      </c>
      <c r="AM22" s="4" t="e">
        <f>Affectations!#REF!</f>
        <v>#REF!</v>
      </c>
      <c r="AN22" s="4" t="e">
        <f>Affectations!#REF!</f>
        <v>#REF!</v>
      </c>
      <c r="AO22" s="4" t="e">
        <f>Affectations!#REF!</f>
        <v>#REF!</v>
      </c>
    </row>
    <row r="23" spans="3:41" x14ac:dyDescent="0.25">
      <c r="C23" s="4" t="str">
        <f>'E4-2016'!E22</f>
        <v>EURO</v>
      </c>
      <c r="D23" s="4" t="str">
        <f>'E4-2016'!B22</f>
        <v>EUROFORMA</v>
      </c>
      <c r="E23" s="4" t="str">
        <f>'E4-2016'!D22</f>
        <v>0756015F</v>
      </c>
      <c r="F23" s="4">
        <f>Affectations!E22</f>
        <v>0</v>
      </c>
      <c r="G23" s="4">
        <f>Affectations!E22</f>
        <v>0</v>
      </c>
      <c r="H23" s="4">
        <f>Affectations!G22</f>
        <v>0</v>
      </c>
      <c r="I23" s="4">
        <f>Affectations!G22</f>
        <v>0</v>
      </c>
      <c r="J23" s="4">
        <f>Affectations!I22</f>
        <v>0</v>
      </c>
      <c r="K23" s="4">
        <f>Affectations!I22</f>
        <v>0</v>
      </c>
      <c r="L23" s="4">
        <f>Affectations!K22</f>
        <v>0</v>
      </c>
      <c r="M23" s="4">
        <f>Affectations!K22</f>
        <v>0</v>
      </c>
      <c r="N23" s="4">
        <f>Affectations!M22</f>
        <v>0</v>
      </c>
      <c r="O23" s="4">
        <f>Affectations!M22</f>
        <v>0</v>
      </c>
      <c r="P23" s="4">
        <f>Affectations!O22</f>
        <v>0</v>
      </c>
      <c r="Q23" s="4">
        <f>Affectations!O22</f>
        <v>0</v>
      </c>
      <c r="R23" s="4">
        <f>Affectations!Q22</f>
        <v>0</v>
      </c>
      <c r="S23" s="4">
        <f>Affectations!Q22</f>
        <v>0</v>
      </c>
      <c r="T23" s="4">
        <f>Affectations!S22</f>
        <v>0</v>
      </c>
      <c r="U23" s="4">
        <f>Affectations!S22</f>
        <v>0</v>
      </c>
      <c r="V23" s="4">
        <f>Affectations!U22</f>
        <v>0</v>
      </c>
      <c r="W23" s="4">
        <f>Affectations!U22</f>
        <v>0</v>
      </c>
      <c r="X23" s="4">
        <f>Affectations!W22</f>
        <v>0</v>
      </c>
      <c r="Y23" s="4">
        <f>Affectations!W22</f>
        <v>0</v>
      </c>
      <c r="Z23" s="4">
        <f>Affectations!Y22</f>
        <v>0</v>
      </c>
      <c r="AA23" s="4">
        <f>Affectations!Y22</f>
        <v>0</v>
      </c>
      <c r="AB23" s="4">
        <f>Affectations!AA22</f>
        <v>0</v>
      </c>
      <c r="AC23" s="4">
        <f>Affectations!AA22</f>
        <v>0</v>
      </c>
      <c r="AD23" s="4">
        <f>Affectations!AC22</f>
        <v>0</v>
      </c>
      <c r="AE23" s="4">
        <f>Affectations!AC22</f>
        <v>0</v>
      </c>
      <c r="AF23" s="4">
        <f>Affectations!AE22</f>
        <v>0</v>
      </c>
      <c r="AG23" s="4">
        <f>Affectations!AE22</f>
        <v>0</v>
      </c>
      <c r="AH23" s="4">
        <f>Affectations!AG22</f>
        <v>0</v>
      </c>
      <c r="AI23" s="4">
        <f>Affectations!AG22</f>
        <v>0</v>
      </c>
      <c r="AJ23" s="4">
        <f>Affectations!AI22</f>
        <v>1</v>
      </c>
      <c r="AK23" s="4">
        <f>Affectations!AI22</f>
        <v>1</v>
      </c>
      <c r="AL23" s="4" t="e">
        <f>Affectations!#REF!</f>
        <v>#REF!</v>
      </c>
      <c r="AM23" s="4" t="e">
        <f>Affectations!#REF!</f>
        <v>#REF!</v>
      </c>
      <c r="AN23" s="4" t="e">
        <f>Affectations!#REF!</f>
        <v>#REF!</v>
      </c>
      <c r="AO23" s="4" t="e">
        <f>Affectations!#REF!</f>
        <v>#REF!</v>
      </c>
    </row>
    <row r="24" spans="3:41" x14ac:dyDescent="0.25">
      <c r="C24" s="4" t="str">
        <f>'E4-2016'!E23</f>
        <v>IMCP</v>
      </c>
      <c r="D24" s="4" t="str">
        <f>'E4-2016'!B23</f>
        <v>IMCP Paris</v>
      </c>
      <c r="E24" s="4" t="str">
        <f>'E4-2016'!D23</f>
        <v>0756241B</v>
      </c>
      <c r="F24" s="4">
        <f>Affectations!E23</f>
        <v>0</v>
      </c>
      <c r="G24" s="4">
        <f>Affectations!E23</f>
        <v>0</v>
      </c>
      <c r="H24" s="4">
        <f>Affectations!G23</f>
        <v>0</v>
      </c>
      <c r="I24" s="4">
        <f>Affectations!G23</f>
        <v>0</v>
      </c>
      <c r="J24" s="4">
        <f>Affectations!I23</f>
        <v>0</v>
      </c>
      <c r="K24" s="4">
        <f>Affectations!I23</f>
        <v>0</v>
      </c>
      <c r="L24" s="4">
        <f>Affectations!K23</f>
        <v>0</v>
      </c>
      <c r="M24" s="4">
        <f>Affectations!K23</f>
        <v>0</v>
      </c>
      <c r="N24" s="4">
        <f>Affectations!M23</f>
        <v>1</v>
      </c>
      <c r="O24" s="4">
        <f>Affectations!M23</f>
        <v>1</v>
      </c>
      <c r="P24" s="4">
        <f>Affectations!O23</f>
        <v>1</v>
      </c>
      <c r="Q24" s="4">
        <f>Affectations!O23</f>
        <v>1</v>
      </c>
      <c r="R24" s="4">
        <f>Affectations!Q23</f>
        <v>1</v>
      </c>
      <c r="S24" s="4">
        <f>Affectations!Q23</f>
        <v>1</v>
      </c>
      <c r="T24" s="4">
        <f>Affectations!S23</f>
        <v>0</v>
      </c>
      <c r="U24" s="4">
        <f>Affectations!S23</f>
        <v>0</v>
      </c>
      <c r="V24" s="4">
        <f>Affectations!U23</f>
        <v>0</v>
      </c>
      <c r="W24" s="4">
        <f>Affectations!U23</f>
        <v>0</v>
      </c>
      <c r="X24" s="4">
        <f>Affectations!W23</f>
        <v>0</v>
      </c>
      <c r="Y24" s="4">
        <f>Affectations!W23</f>
        <v>0</v>
      </c>
      <c r="Z24" s="4">
        <f>Affectations!Y23</f>
        <v>0</v>
      </c>
      <c r="AA24" s="4">
        <f>Affectations!Y23</f>
        <v>0</v>
      </c>
      <c r="AB24" s="4">
        <f>Affectations!AA23</f>
        <v>0</v>
      </c>
      <c r="AC24" s="4">
        <f>Affectations!AA23</f>
        <v>0</v>
      </c>
      <c r="AD24" s="4">
        <f>Affectations!AC23</f>
        <v>0</v>
      </c>
      <c r="AE24" s="4">
        <f>Affectations!AC23</f>
        <v>0</v>
      </c>
      <c r="AF24" s="4">
        <f>Affectations!AE23</f>
        <v>0</v>
      </c>
      <c r="AG24" s="4">
        <f>Affectations!AE23</f>
        <v>0</v>
      </c>
      <c r="AH24" s="4">
        <f>Affectations!AG23</f>
        <v>0</v>
      </c>
      <c r="AI24" s="4">
        <f>Affectations!AG23</f>
        <v>0</v>
      </c>
      <c r="AJ24" s="4">
        <f>Affectations!AI23</f>
        <v>0</v>
      </c>
      <c r="AK24" s="4">
        <f>Affectations!AI23</f>
        <v>0</v>
      </c>
      <c r="AL24" s="4" t="e">
        <f>Affectations!#REF!</f>
        <v>#REF!</v>
      </c>
      <c r="AM24" s="4" t="e">
        <f>Affectations!#REF!</f>
        <v>#REF!</v>
      </c>
      <c r="AN24" s="4" t="e">
        <f>Affectations!#REF!</f>
        <v>#REF!</v>
      </c>
      <c r="AO24" s="4" t="e">
        <f>Affectations!#REF!</f>
        <v>#REF!</v>
      </c>
    </row>
    <row r="25" spans="3:41" x14ac:dyDescent="0.25">
      <c r="C25" s="4" t="str">
        <f>'E4-2016'!E24</f>
        <v>ISW</v>
      </c>
      <c r="D25" s="4" t="str">
        <f>'E4-2016'!B24</f>
        <v>CFA ISW EDUCATION</v>
      </c>
      <c r="E25" s="4" t="str">
        <f>'E4-2016'!D24</f>
        <v>0756351W</v>
      </c>
      <c r="F25" s="4">
        <f>Affectations!E24</f>
        <v>0</v>
      </c>
      <c r="G25" s="4">
        <f>Affectations!E24</f>
        <v>0</v>
      </c>
      <c r="H25" s="4">
        <f>Affectations!G24</f>
        <v>0</v>
      </c>
      <c r="I25" s="4">
        <f>Affectations!G24</f>
        <v>0</v>
      </c>
      <c r="J25" s="4">
        <f>Affectations!I24</f>
        <v>0</v>
      </c>
      <c r="K25" s="4">
        <f>Affectations!I24</f>
        <v>0</v>
      </c>
      <c r="L25" s="4">
        <f>Affectations!K24</f>
        <v>0</v>
      </c>
      <c r="M25" s="4">
        <f>Affectations!K24</f>
        <v>0</v>
      </c>
      <c r="N25" s="4">
        <f>Affectations!M24</f>
        <v>0</v>
      </c>
      <c r="O25" s="4">
        <f>Affectations!M24</f>
        <v>0</v>
      </c>
      <c r="P25" s="4">
        <f>Affectations!O24</f>
        <v>0</v>
      </c>
      <c r="Q25" s="4">
        <f>Affectations!O24</f>
        <v>0</v>
      </c>
      <c r="R25" s="4">
        <f>Affectations!Q24</f>
        <v>0</v>
      </c>
      <c r="S25" s="4">
        <f>Affectations!Q24</f>
        <v>0</v>
      </c>
      <c r="T25" s="4">
        <f>Affectations!S24</f>
        <v>1</v>
      </c>
      <c r="U25" s="4">
        <f>Affectations!S24</f>
        <v>1</v>
      </c>
      <c r="V25" s="4">
        <f>Affectations!U24</f>
        <v>1</v>
      </c>
      <c r="W25" s="4">
        <f>Affectations!U24</f>
        <v>1</v>
      </c>
      <c r="X25" s="4">
        <f>Affectations!W24</f>
        <v>1</v>
      </c>
      <c r="Y25" s="4">
        <f>Affectations!W24</f>
        <v>1</v>
      </c>
      <c r="Z25" s="4">
        <f>Affectations!Y24</f>
        <v>0</v>
      </c>
      <c r="AA25" s="4">
        <f>Affectations!Y24</f>
        <v>0</v>
      </c>
      <c r="AB25" s="4">
        <f>Affectations!AA24</f>
        <v>0</v>
      </c>
      <c r="AC25" s="4">
        <f>Affectations!AA24</f>
        <v>0</v>
      </c>
      <c r="AD25" s="4">
        <f>Affectations!AC24</f>
        <v>0</v>
      </c>
      <c r="AE25" s="4">
        <f>Affectations!AC24</f>
        <v>0</v>
      </c>
      <c r="AF25" s="4">
        <f>Affectations!AE24</f>
        <v>0</v>
      </c>
      <c r="AG25" s="4">
        <f>Affectations!AE24</f>
        <v>0</v>
      </c>
      <c r="AH25" s="4">
        <f>Affectations!AG24</f>
        <v>0</v>
      </c>
      <c r="AI25" s="4">
        <f>Affectations!AG24</f>
        <v>0</v>
      </c>
      <c r="AJ25" s="4">
        <f>Affectations!AI24</f>
        <v>0</v>
      </c>
      <c r="AK25" s="4">
        <f>Affectations!AI24</f>
        <v>0</v>
      </c>
      <c r="AL25" s="4" t="e">
        <f>Affectations!#REF!</f>
        <v>#REF!</v>
      </c>
      <c r="AM25" s="4" t="e">
        <f>Affectations!#REF!</f>
        <v>#REF!</v>
      </c>
      <c r="AN25" s="4" t="e">
        <f>Affectations!#REF!</f>
        <v>#REF!</v>
      </c>
      <c r="AO25" s="4" t="e">
        <f>Affectations!#REF!</f>
        <v>#REF!</v>
      </c>
    </row>
    <row r="26" spans="3:41" x14ac:dyDescent="0.25">
      <c r="C26" s="4" t="str">
        <f>'E4-2016'!E25</f>
        <v>COMBS</v>
      </c>
      <c r="D26" s="4" t="str">
        <f>'E4-2016'!B25</f>
        <v>Lycee Jacques Prevert</v>
      </c>
      <c r="E26" s="4" t="str">
        <f>'E4-2016'!D25</f>
        <v>0771997C</v>
      </c>
      <c r="F26" s="4">
        <f>Affectations!E25</f>
        <v>1</v>
      </c>
      <c r="G26" s="4">
        <f>Affectations!E25</f>
        <v>1</v>
      </c>
      <c r="H26" s="4">
        <f>Affectations!G25</f>
        <v>1</v>
      </c>
      <c r="I26" s="4">
        <f>Affectations!G25</f>
        <v>1</v>
      </c>
      <c r="J26" s="4">
        <f>Affectations!I25</f>
        <v>1</v>
      </c>
      <c r="K26" s="4">
        <f>Affectations!I25</f>
        <v>1</v>
      </c>
      <c r="L26" s="4">
        <f>Affectations!K25</f>
        <v>1</v>
      </c>
      <c r="M26" s="4">
        <f>Affectations!K25</f>
        <v>1</v>
      </c>
      <c r="N26" s="4">
        <f>Affectations!M25</f>
        <v>0</v>
      </c>
      <c r="O26" s="4">
        <f>Affectations!M25</f>
        <v>0</v>
      </c>
      <c r="P26" s="4">
        <f>Affectations!O25</f>
        <v>0</v>
      </c>
      <c r="Q26" s="4">
        <f>Affectations!O25</f>
        <v>0</v>
      </c>
      <c r="R26" s="4">
        <f>Affectations!Q25</f>
        <v>0</v>
      </c>
      <c r="S26" s="4">
        <f>Affectations!Q25</f>
        <v>0</v>
      </c>
      <c r="T26" s="4">
        <f>Affectations!S25</f>
        <v>0</v>
      </c>
      <c r="U26" s="4">
        <f>Affectations!S25</f>
        <v>0</v>
      </c>
      <c r="V26" s="4">
        <f>Affectations!U25</f>
        <v>0</v>
      </c>
      <c r="W26" s="4">
        <f>Affectations!U25</f>
        <v>0</v>
      </c>
      <c r="X26" s="4">
        <f>Affectations!W25</f>
        <v>0</v>
      </c>
      <c r="Y26" s="4">
        <f>Affectations!W25</f>
        <v>0</v>
      </c>
      <c r="Z26" s="4">
        <f>Affectations!Y25</f>
        <v>0</v>
      </c>
      <c r="AA26" s="4">
        <f>Affectations!Y25</f>
        <v>0</v>
      </c>
      <c r="AB26" s="4">
        <f>Affectations!AA25</f>
        <v>0</v>
      </c>
      <c r="AC26" s="4">
        <f>Affectations!AA25</f>
        <v>0</v>
      </c>
      <c r="AD26" s="4">
        <f>Affectations!AC25</f>
        <v>0</v>
      </c>
      <c r="AE26" s="4">
        <f>Affectations!AC25</f>
        <v>0</v>
      </c>
      <c r="AF26" s="4">
        <f>Affectations!AE25</f>
        <v>0</v>
      </c>
      <c r="AG26" s="4">
        <f>Affectations!AE25</f>
        <v>0</v>
      </c>
      <c r="AH26" s="4">
        <f>Affectations!AG25</f>
        <v>0</v>
      </c>
      <c r="AI26" s="4">
        <f>Affectations!AG25</f>
        <v>0</v>
      </c>
      <c r="AJ26" s="4">
        <f>Affectations!AI25</f>
        <v>0</v>
      </c>
      <c r="AK26" s="4">
        <f>Affectations!AI25</f>
        <v>0</v>
      </c>
      <c r="AL26" s="4" t="e">
        <f>Affectations!#REF!</f>
        <v>#REF!</v>
      </c>
      <c r="AM26" s="4" t="e">
        <f>Affectations!#REF!</f>
        <v>#REF!</v>
      </c>
      <c r="AN26" s="4" t="e">
        <f>Affectations!#REF!</f>
        <v>#REF!</v>
      </c>
      <c r="AO26" s="4" t="e">
        <f>Affectations!#REF!</f>
        <v>#REF!</v>
      </c>
    </row>
    <row r="27" spans="3:41" x14ac:dyDescent="0.25">
      <c r="C27" s="4" t="str">
        <f>'E4-2016'!E26</f>
        <v>ED77</v>
      </c>
      <c r="D27" s="4" t="str">
        <f>'E4-2016'!B26</f>
        <v>Educatel 77</v>
      </c>
      <c r="E27" s="4" t="str">
        <f>'E4-2016'!D26</f>
        <v>077203SB</v>
      </c>
      <c r="F27" s="4">
        <f>Affectations!E26</f>
        <v>0</v>
      </c>
      <c r="G27" s="4">
        <f>Affectations!E26</f>
        <v>0</v>
      </c>
      <c r="H27" s="4">
        <f>Affectations!G26</f>
        <v>0</v>
      </c>
      <c r="I27" s="4">
        <f>Affectations!G26</f>
        <v>0</v>
      </c>
      <c r="J27" s="4">
        <f>Affectations!I26</f>
        <v>0</v>
      </c>
      <c r="K27" s="4">
        <f>Affectations!I26</f>
        <v>0</v>
      </c>
      <c r="L27" s="4">
        <f>Affectations!K26</f>
        <v>0</v>
      </c>
      <c r="M27" s="4">
        <f>Affectations!K26</f>
        <v>0</v>
      </c>
      <c r="N27" s="4">
        <f>Affectations!M26</f>
        <v>0</v>
      </c>
      <c r="O27" s="4">
        <f>Affectations!M26</f>
        <v>0</v>
      </c>
      <c r="P27" s="4">
        <f>Affectations!O26</f>
        <v>0</v>
      </c>
      <c r="Q27" s="4">
        <f>Affectations!O26</f>
        <v>0</v>
      </c>
      <c r="R27" s="4">
        <f>Affectations!Q26</f>
        <v>0</v>
      </c>
      <c r="S27" s="4">
        <f>Affectations!Q26</f>
        <v>0</v>
      </c>
      <c r="T27" s="4">
        <f>Affectations!S26</f>
        <v>0</v>
      </c>
      <c r="U27" s="4">
        <f>Affectations!S26</f>
        <v>0</v>
      </c>
      <c r="V27" s="4">
        <f>Affectations!U26</f>
        <v>0</v>
      </c>
      <c r="W27" s="4">
        <f>Affectations!U26</f>
        <v>0</v>
      </c>
      <c r="X27" s="4">
        <f>Affectations!W26</f>
        <v>0</v>
      </c>
      <c r="Y27" s="4">
        <f>Affectations!W26</f>
        <v>0</v>
      </c>
      <c r="Z27" s="4">
        <f>Affectations!Y26</f>
        <v>0</v>
      </c>
      <c r="AA27" s="4">
        <f>Affectations!Y26</f>
        <v>0</v>
      </c>
      <c r="AB27" s="4">
        <f>Affectations!AA26</f>
        <v>0</v>
      </c>
      <c r="AC27" s="4">
        <f>Affectations!AA26</f>
        <v>0</v>
      </c>
      <c r="AD27" s="4">
        <f>Affectations!AC26</f>
        <v>0</v>
      </c>
      <c r="AE27" s="4">
        <f>Affectations!AC26</f>
        <v>0</v>
      </c>
      <c r="AF27" s="4">
        <f>Affectations!AE26</f>
        <v>0</v>
      </c>
      <c r="AG27" s="4">
        <f>Affectations!AE26</f>
        <v>0</v>
      </c>
      <c r="AH27" s="4">
        <f>Affectations!AG26</f>
        <v>0</v>
      </c>
      <c r="AI27" s="4">
        <f>Affectations!AG26</f>
        <v>0</v>
      </c>
      <c r="AJ27" s="4">
        <f>Affectations!AI26</f>
        <v>0</v>
      </c>
      <c r="AK27" s="4">
        <f>Affectations!AI26</f>
        <v>0</v>
      </c>
      <c r="AL27" s="4" t="e">
        <f>Affectations!#REF!</f>
        <v>#REF!</v>
      </c>
      <c r="AM27" s="4" t="e">
        <f>Affectations!#REF!</f>
        <v>#REF!</v>
      </c>
      <c r="AN27" s="4" t="e">
        <f>Affectations!#REF!</f>
        <v>#REF!</v>
      </c>
      <c r="AO27" s="4" t="e">
        <f>Affectations!#REF!</f>
        <v>#REF!</v>
      </c>
    </row>
    <row r="28" spans="3:41" x14ac:dyDescent="0.25">
      <c r="C28" s="4" t="str">
        <f>'E4-2016'!E27</f>
        <v>CHAM</v>
      </c>
      <c r="D28" s="4" t="str">
        <f>'E4-2016'!B27</f>
        <v>lycee Rene Descartes</v>
      </c>
      <c r="E28" s="4" t="str">
        <f>'E4-2016'!D27</f>
        <v>0772223Y</v>
      </c>
      <c r="F28" s="4">
        <f>Affectations!E27</f>
        <v>0</v>
      </c>
      <c r="G28" s="4">
        <f>Affectations!E27</f>
        <v>0</v>
      </c>
      <c r="H28" s="4">
        <f>Affectations!G27</f>
        <v>0</v>
      </c>
      <c r="I28" s="4">
        <f>Affectations!G27</f>
        <v>0</v>
      </c>
      <c r="J28" s="4">
        <f>Affectations!I27</f>
        <v>0</v>
      </c>
      <c r="K28" s="4">
        <f>Affectations!I27</f>
        <v>0</v>
      </c>
      <c r="L28" s="4">
        <f>Affectations!K27</f>
        <v>0</v>
      </c>
      <c r="M28" s="4">
        <f>Affectations!K27</f>
        <v>0</v>
      </c>
      <c r="N28" s="4">
        <f>Affectations!M27</f>
        <v>2</v>
      </c>
      <c r="O28" s="4">
        <f>Affectations!M27</f>
        <v>2</v>
      </c>
      <c r="P28" s="4">
        <f>Affectations!O27</f>
        <v>2</v>
      </c>
      <c r="Q28" s="4">
        <f>Affectations!O27</f>
        <v>2</v>
      </c>
      <c r="R28" s="4">
        <f>Affectations!Q27</f>
        <v>2</v>
      </c>
      <c r="S28" s="4">
        <f>Affectations!Q27</f>
        <v>2</v>
      </c>
      <c r="T28" s="4">
        <f>Affectations!S27</f>
        <v>2</v>
      </c>
      <c r="U28" s="4">
        <f>Affectations!S27</f>
        <v>2</v>
      </c>
      <c r="V28" s="4">
        <f>Affectations!U27</f>
        <v>2</v>
      </c>
      <c r="W28" s="4">
        <f>Affectations!U27</f>
        <v>2</v>
      </c>
      <c r="X28" s="4">
        <f>Affectations!W27</f>
        <v>2</v>
      </c>
      <c r="Y28" s="4">
        <f>Affectations!W27</f>
        <v>2</v>
      </c>
      <c r="Z28" s="4">
        <f>Affectations!Y27</f>
        <v>2</v>
      </c>
      <c r="AA28" s="4">
        <f>Affectations!Y27</f>
        <v>2</v>
      </c>
      <c r="AB28" s="4">
        <f>Affectations!AA27</f>
        <v>2</v>
      </c>
      <c r="AC28" s="4">
        <f>Affectations!AA27</f>
        <v>2</v>
      </c>
      <c r="AD28" s="4">
        <f>Affectations!AC27</f>
        <v>2</v>
      </c>
      <c r="AE28" s="4">
        <f>Affectations!AC27</f>
        <v>2</v>
      </c>
      <c r="AF28" s="4">
        <f>Affectations!AE27</f>
        <v>2</v>
      </c>
      <c r="AG28" s="4">
        <f>Affectations!AE27</f>
        <v>2</v>
      </c>
      <c r="AH28" s="4">
        <f>Affectations!AG27</f>
        <v>2</v>
      </c>
      <c r="AI28" s="4">
        <f>Affectations!AG27</f>
        <v>2</v>
      </c>
      <c r="AJ28" s="4">
        <f>Affectations!AI27</f>
        <v>2</v>
      </c>
      <c r="AK28" s="4">
        <f>Affectations!AI27</f>
        <v>2</v>
      </c>
      <c r="AL28" s="4" t="e">
        <f>Affectations!#REF!</f>
        <v>#REF!</v>
      </c>
      <c r="AM28" s="4" t="e">
        <f>Affectations!#REF!</f>
        <v>#REF!</v>
      </c>
      <c r="AN28" s="4" t="e">
        <f>Affectations!#REF!</f>
        <v>#REF!</v>
      </c>
      <c r="AO28" s="4" t="e">
        <f>Affectations!#REF!</f>
        <v>#REF!</v>
      </c>
    </row>
    <row r="29" spans="3:41" x14ac:dyDescent="0.25">
      <c r="C29" s="4" t="str">
        <f>'E4-2016'!E28</f>
        <v>EMSC</v>
      </c>
      <c r="D29" s="4" t="str">
        <f>'E4-2016'!B28</f>
        <v>EMSCA</v>
      </c>
      <c r="E29" s="4" t="str">
        <f>'E4-2016'!D28</f>
        <v>0772893B</v>
      </c>
      <c r="F29" s="4">
        <f>Affectations!E28</f>
        <v>0</v>
      </c>
      <c r="G29" s="4">
        <f>Affectations!E28</f>
        <v>0</v>
      </c>
      <c r="H29" s="4">
        <f>Affectations!G28</f>
        <v>0</v>
      </c>
      <c r="I29" s="4">
        <f>Affectations!G28</f>
        <v>0</v>
      </c>
      <c r="J29" s="4">
        <f>Affectations!I28</f>
        <v>0</v>
      </c>
      <c r="K29" s="4">
        <f>Affectations!I28</f>
        <v>0</v>
      </c>
      <c r="L29" s="4">
        <f>Affectations!K28</f>
        <v>0</v>
      </c>
      <c r="M29" s="4">
        <f>Affectations!K28</f>
        <v>0</v>
      </c>
      <c r="N29" s="4">
        <f>Affectations!M28</f>
        <v>1</v>
      </c>
      <c r="O29" s="4">
        <f>Affectations!M28</f>
        <v>1</v>
      </c>
      <c r="P29" s="4">
        <f>Affectations!O28</f>
        <v>1</v>
      </c>
      <c r="Q29" s="4">
        <f>Affectations!O28</f>
        <v>1</v>
      </c>
      <c r="R29" s="4">
        <f>Affectations!Q28</f>
        <v>0</v>
      </c>
      <c r="S29" s="4">
        <f>Affectations!Q28</f>
        <v>0</v>
      </c>
      <c r="T29" s="4">
        <f>Affectations!S28</f>
        <v>0</v>
      </c>
      <c r="U29" s="4">
        <f>Affectations!S28</f>
        <v>0</v>
      </c>
      <c r="V29" s="4">
        <f>Affectations!U28</f>
        <v>0</v>
      </c>
      <c r="W29" s="4">
        <f>Affectations!U28</f>
        <v>0</v>
      </c>
      <c r="X29" s="4">
        <f>Affectations!W28</f>
        <v>0</v>
      </c>
      <c r="Y29" s="4">
        <f>Affectations!W28</f>
        <v>0</v>
      </c>
      <c r="Z29" s="4">
        <f>Affectations!Y28</f>
        <v>0</v>
      </c>
      <c r="AA29" s="4">
        <f>Affectations!Y28</f>
        <v>0</v>
      </c>
      <c r="AB29" s="4">
        <f>Affectations!AA28</f>
        <v>0</v>
      </c>
      <c r="AC29" s="4">
        <f>Affectations!AA28</f>
        <v>0</v>
      </c>
      <c r="AD29" s="4">
        <f>Affectations!AC28</f>
        <v>0</v>
      </c>
      <c r="AE29" s="4">
        <f>Affectations!AC28</f>
        <v>0</v>
      </c>
      <c r="AF29" s="4">
        <f>Affectations!AE28</f>
        <v>0</v>
      </c>
      <c r="AG29" s="4">
        <f>Affectations!AE28</f>
        <v>0</v>
      </c>
      <c r="AH29" s="4">
        <f>Affectations!AG28</f>
        <v>0</v>
      </c>
      <c r="AI29" s="4">
        <f>Affectations!AG28</f>
        <v>0</v>
      </c>
      <c r="AJ29" s="4">
        <f>Affectations!AI28</f>
        <v>0</v>
      </c>
      <c r="AK29" s="4">
        <f>Affectations!AI28</f>
        <v>0</v>
      </c>
      <c r="AL29" s="4" t="e">
        <f>Affectations!#REF!</f>
        <v>#REF!</v>
      </c>
      <c r="AM29" s="4" t="e">
        <f>Affectations!#REF!</f>
        <v>#REF!</v>
      </c>
      <c r="AN29" s="4" t="e">
        <f>Affectations!#REF!</f>
        <v>#REF!</v>
      </c>
      <c r="AO29" s="4" t="e">
        <f>Affectations!#REF!</f>
        <v>#REF!</v>
      </c>
    </row>
    <row r="30" spans="3:41" x14ac:dyDescent="0.25">
      <c r="C30" s="4" t="str">
        <f>'E4-2016'!E29</f>
        <v>H3C</v>
      </c>
      <c r="D30" s="4" t="str">
        <f>'E4-2016'!B29</f>
        <v>H3C Campus Poissy</v>
      </c>
      <c r="E30" s="4" t="str">
        <f>'E4-2016'!D29</f>
        <v>0781858W</v>
      </c>
      <c r="F30" s="4">
        <f>Affectations!E29</f>
        <v>2</v>
      </c>
      <c r="G30" s="4">
        <f>Affectations!E29</f>
        <v>2</v>
      </c>
      <c r="H30" s="4">
        <f>Affectations!G29</f>
        <v>2</v>
      </c>
      <c r="I30" s="4">
        <f>Affectations!G29</f>
        <v>2</v>
      </c>
      <c r="J30" s="4">
        <f>Affectations!I29</f>
        <v>2</v>
      </c>
      <c r="K30" s="4">
        <f>Affectations!I29</f>
        <v>2</v>
      </c>
      <c r="L30" s="4">
        <f>Affectations!K29</f>
        <v>1</v>
      </c>
      <c r="M30" s="4">
        <f>Affectations!K29</f>
        <v>1</v>
      </c>
      <c r="N30" s="4">
        <f>Affectations!M29</f>
        <v>0</v>
      </c>
      <c r="O30" s="4">
        <f>Affectations!M29</f>
        <v>0</v>
      </c>
      <c r="P30" s="4">
        <f>Affectations!O29</f>
        <v>0</v>
      </c>
      <c r="Q30" s="4">
        <f>Affectations!O29</f>
        <v>0</v>
      </c>
      <c r="R30" s="4">
        <f>Affectations!Q29</f>
        <v>0</v>
      </c>
      <c r="S30" s="4">
        <f>Affectations!Q29</f>
        <v>0</v>
      </c>
      <c r="T30" s="4">
        <f>Affectations!S29</f>
        <v>0</v>
      </c>
      <c r="U30" s="4">
        <f>Affectations!S29</f>
        <v>0</v>
      </c>
      <c r="V30" s="4">
        <f>Affectations!U29</f>
        <v>0</v>
      </c>
      <c r="W30" s="4">
        <f>Affectations!U29</f>
        <v>0</v>
      </c>
      <c r="X30" s="4">
        <f>Affectations!W29</f>
        <v>0</v>
      </c>
      <c r="Y30" s="4">
        <f>Affectations!W29</f>
        <v>0</v>
      </c>
      <c r="Z30" s="4">
        <f>Affectations!Y29</f>
        <v>0</v>
      </c>
      <c r="AA30" s="4">
        <f>Affectations!Y29</f>
        <v>0</v>
      </c>
      <c r="AB30" s="4">
        <f>Affectations!AA29</f>
        <v>0</v>
      </c>
      <c r="AC30" s="4">
        <f>Affectations!AA29</f>
        <v>0</v>
      </c>
      <c r="AD30" s="4">
        <f>Affectations!AC29</f>
        <v>0</v>
      </c>
      <c r="AE30" s="4">
        <f>Affectations!AC29</f>
        <v>0</v>
      </c>
      <c r="AF30" s="4">
        <f>Affectations!AE29</f>
        <v>0</v>
      </c>
      <c r="AG30" s="4">
        <f>Affectations!AE29</f>
        <v>0</v>
      </c>
      <c r="AH30" s="4">
        <f>Affectations!AG29</f>
        <v>0</v>
      </c>
      <c r="AI30" s="4">
        <f>Affectations!AG29</f>
        <v>0</v>
      </c>
      <c r="AJ30" s="4">
        <f>Affectations!AI29</f>
        <v>0</v>
      </c>
      <c r="AK30" s="4">
        <f>Affectations!AI29</f>
        <v>0</v>
      </c>
      <c r="AL30" s="4" t="e">
        <f>Affectations!#REF!</f>
        <v>#REF!</v>
      </c>
      <c r="AM30" s="4" t="e">
        <f>Affectations!#REF!</f>
        <v>#REF!</v>
      </c>
      <c r="AN30" s="4" t="e">
        <f>Affectations!#REF!</f>
        <v>#REF!</v>
      </c>
      <c r="AO30" s="4" t="e">
        <f>Affectations!#REF!</f>
        <v>#REF!</v>
      </c>
    </row>
    <row r="31" spans="3:41" x14ac:dyDescent="0.25">
      <c r="C31" s="4" t="str">
        <f>'E4-2016'!E30</f>
        <v>CGS</v>
      </c>
      <c r="D31" s="4" t="str">
        <f>'E4-2016'!B30</f>
        <v>ENSUP CGSAT</v>
      </c>
      <c r="E31" s="4" t="str">
        <f>'E4-2016'!D30</f>
        <v>0783545E</v>
      </c>
      <c r="F31" s="4">
        <f>Affectations!E30</f>
        <v>0</v>
      </c>
      <c r="G31" s="4">
        <f>Affectations!E30</f>
        <v>0</v>
      </c>
      <c r="H31" s="4">
        <f>Affectations!G30</f>
        <v>0</v>
      </c>
      <c r="I31" s="4">
        <f>Affectations!G30</f>
        <v>0</v>
      </c>
      <c r="J31" s="4">
        <f>Affectations!I30</f>
        <v>0</v>
      </c>
      <c r="K31" s="4">
        <f>Affectations!I30</f>
        <v>0</v>
      </c>
      <c r="L31" s="4">
        <f>Affectations!K30</f>
        <v>0</v>
      </c>
      <c r="M31" s="4">
        <f>Affectations!K30</f>
        <v>0</v>
      </c>
      <c r="N31" s="4">
        <f>Affectations!M30</f>
        <v>0</v>
      </c>
      <c r="O31" s="4">
        <f>Affectations!M30</f>
        <v>0</v>
      </c>
      <c r="P31" s="4">
        <f>Affectations!O30</f>
        <v>2</v>
      </c>
      <c r="Q31" s="4">
        <f>Affectations!O30</f>
        <v>2</v>
      </c>
      <c r="R31" s="4">
        <f>Affectations!Q30</f>
        <v>2</v>
      </c>
      <c r="S31" s="4">
        <f>Affectations!Q30</f>
        <v>2</v>
      </c>
      <c r="T31" s="4">
        <f>Affectations!S30</f>
        <v>2</v>
      </c>
      <c r="U31" s="4">
        <f>Affectations!S30</f>
        <v>2</v>
      </c>
      <c r="V31" s="4">
        <f>Affectations!U30</f>
        <v>2</v>
      </c>
      <c r="W31" s="4">
        <f>Affectations!U30</f>
        <v>2</v>
      </c>
      <c r="X31" s="4">
        <f>Affectations!W30</f>
        <v>1</v>
      </c>
      <c r="Y31" s="4">
        <f>Affectations!W30</f>
        <v>1</v>
      </c>
      <c r="Z31" s="4">
        <f>Affectations!Y30</f>
        <v>0</v>
      </c>
      <c r="AA31" s="4">
        <f>Affectations!Y30</f>
        <v>0</v>
      </c>
      <c r="AB31" s="4">
        <f>Affectations!AA30</f>
        <v>0</v>
      </c>
      <c r="AC31" s="4">
        <f>Affectations!AA30</f>
        <v>0</v>
      </c>
      <c r="AD31" s="4">
        <f>Affectations!AC30</f>
        <v>0</v>
      </c>
      <c r="AE31" s="4">
        <f>Affectations!AC30</f>
        <v>0</v>
      </c>
      <c r="AF31" s="4">
        <f>Affectations!AE30</f>
        <v>0</v>
      </c>
      <c r="AG31" s="4">
        <f>Affectations!AE30</f>
        <v>0</v>
      </c>
      <c r="AH31" s="4">
        <f>Affectations!AG30</f>
        <v>0</v>
      </c>
      <c r="AI31" s="4">
        <f>Affectations!AG30</f>
        <v>0</v>
      </c>
      <c r="AJ31" s="4">
        <f>Affectations!AI30</f>
        <v>0</v>
      </c>
      <c r="AK31" s="4">
        <f>Affectations!AI30</f>
        <v>0</v>
      </c>
      <c r="AL31" s="4" t="e">
        <f>Affectations!#REF!</f>
        <v>#REF!</v>
      </c>
      <c r="AM31" s="4" t="e">
        <f>Affectations!#REF!</f>
        <v>#REF!</v>
      </c>
      <c r="AN31" s="4" t="e">
        <f>Affectations!#REF!</f>
        <v>#REF!</v>
      </c>
      <c r="AO31" s="4" t="e">
        <f>Affectations!#REF!</f>
        <v>#REF!</v>
      </c>
    </row>
    <row r="32" spans="3:41" x14ac:dyDescent="0.25">
      <c r="C32" s="4" t="str">
        <f>'E4-2016'!E31</f>
        <v>LAN</v>
      </c>
      <c r="D32" s="4" t="str">
        <f>'E4-2016'!B31</f>
        <v>Lycee Geoffroy Saint Hilaire</v>
      </c>
      <c r="E32" s="4" t="str">
        <f>'E4-2016'!D31</f>
        <v>0910622G</v>
      </c>
      <c r="F32" s="4">
        <f>Affectations!E31</f>
        <v>0</v>
      </c>
      <c r="G32" s="4">
        <f>Affectations!E31</f>
        <v>0</v>
      </c>
      <c r="H32" s="4">
        <f>Affectations!G31</f>
        <v>0</v>
      </c>
      <c r="I32" s="4">
        <f>Affectations!G31</f>
        <v>0</v>
      </c>
      <c r="J32" s="4">
        <f>Affectations!I31</f>
        <v>0</v>
      </c>
      <c r="K32" s="4">
        <f>Affectations!I31</f>
        <v>0</v>
      </c>
      <c r="L32" s="4">
        <f>Affectations!K31</f>
        <v>0</v>
      </c>
      <c r="M32" s="4">
        <f>Affectations!K31</f>
        <v>0</v>
      </c>
      <c r="N32" s="4">
        <f>Affectations!M31</f>
        <v>2</v>
      </c>
      <c r="O32" s="4">
        <f>Affectations!M31</f>
        <v>2</v>
      </c>
      <c r="P32" s="4">
        <f>Affectations!O31</f>
        <v>2</v>
      </c>
      <c r="Q32" s="4">
        <f>Affectations!O31</f>
        <v>2</v>
      </c>
      <c r="R32" s="4">
        <f>Affectations!Q31</f>
        <v>2</v>
      </c>
      <c r="S32" s="4">
        <f>Affectations!Q31</f>
        <v>2</v>
      </c>
      <c r="T32" s="4">
        <f>Affectations!S31</f>
        <v>2</v>
      </c>
      <c r="U32" s="4">
        <f>Affectations!S31</f>
        <v>2</v>
      </c>
      <c r="V32" s="4">
        <f>Affectations!U31</f>
        <v>2</v>
      </c>
      <c r="W32" s="4">
        <f>Affectations!U31</f>
        <v>2</v>
      </c>
      <c r="X32" s="4">
        <f>Affectations!W31</f>
        <v>2</v>
      </c>
      <c r="Y32" s="4">
        <f>Affectations!W31</f>
        <v>2</v>
      </c>
      <c r="Z32" s="4">
        <f>Affectations!Y31</f>
        <v>2</v>
      </c>
      <c r="AA32" s="4">
        <f>Affectations!Y31</f>
        <v>2</v>
      </c>
      <c r="AB32" s="4">
        <f>Affectations!AA31</f>
        <v>2</v>
      </c>
      <c r="AC32" s="4">
        <f>Affectations!AA31</f>
        <v>2</v>
      </c>
      <c r="AD32" s="4">
        <f>Affectations!AC31</f>
        <v>2</v>
      </c>
      <c r="AE32" s="4">
        <f>Affectations!AC31</f>
        <v>2</v>
      </c>
      <c r="AF32" s="4">
        <f>Affectations!AE31</f>
        <v>2</v>
      </c>
      <c r="AG32" s="4">
        <f>Affectations!AE31</f>
        <v>2</v>
      </c>
      <c r="AH32" s="4">
        <f>Affectations!AG31</f>
        <v>2</v>
      </c>
      <c r="AI32" s="4">
        <f>Affectations!AG31</f>
        <v>2</v>
      </c>
      <c r="AJ32" s="4">
        <f>Affectations!AI31</f>
        <v>2</v>
      </c>
      <c r="AK32" s="4">
        <f>Affectations!AI31</f>
        <v>2</v>
      </c>
      <c r="AL32" s="4" t="e">
        <f>Affectations!#REF!</f>
        <v>#REF!</v>
      </c>
      <c r="AM32" s="4" t="e">
        <f>Affectations!#REF!</f>
        <v>#REF!</v>
      </c>
      <c r="AN32" s="4" t="e">
        <f>Affectations!#REF!</f>
        <v>#REF!</v>
      </c>
      <c r="AO32" s="4" t="e">
        <f>Affectations!#REF!</f>
        <v>#REF!</v>
      </c>
    </row>
    <row r="33" spans="3:42" x14ac:dyDescent="0.25">
      <c r="C33" s="4" t="str">
        <f>'E4-2016'!E32</f>
        <v>ITIS</v>
      </c>
      <c r="D33" s="4" t="str">
        <f>'E4-2016'!B32</f>
        <v>ITIS</v>
      </c>
      <c r="E33" s="4" t="str">
        <f>'E4-2016'!D32</f>
        <v>0911864G</v>
      </c>
      <c r="F33" s="4">
        <f>Affectations!E32</f>
        <v>2</v>
      </c>
      <c r="G33" s="4">
        <f>Affectations!E32</f>
        <v>2</v>
      </c>
      <c r="H33" s="4">
        <f>Affectations!G32</f>
        <v>2</v>
      </c>
      <c r="I33" s="4">
        <f>Affectations!G32</f>
        <v>2</v>
      </c>
      <c r="J33" s="4">
        <f>Affectations!I32</f>
        <v>2</v>
      </c>
      <c r="K33" s="4">
        <f>Affectations!I32</f>
        <v>2</v>
      </c>
      <c r="L33" s="4">
        <f>Affectations!K32</f>
        <v>1</v>
      </c>
      <c r="M33" s="4">
        <f>Affectations!K32</f>
        <v>1</v>
      </c>
      <c r="N33" s="4">
        <f>Affectations!M32</f>
        <v>0</v>
      </c>
      <c r="O33" s="4">
        <f>Affectations!M32</f>
        <v>0</v>
      </c>
      <c r="P33" s="4">
        <f>Affectations!O32</f>
        <v>0</v>
      </c>
      <c r="Q33" s="4">
        <f>Affectations!O32</f>
        <v>0</v>
      </c>
      <c r="R33" s="4">
        <f>Affectations!Q32</f>
        <v>0</v>
      </c>
      <c r="S33" s="4">
        <f>Affectations!Q32</f>
        <v>0</v>
      </c>
      <c r="T33" s="4">
        <f>Affectations!S32</f>
        <v>0</v>
      </c>
      <c r="U33" s="4">
        <f>Affectations!S32</f>
        <v>0</v>
      </c>
      <c r="V33" s="4">
        <f>Affectations!U32</f>
        <v>0</v>
      </c>
      <c r="W33" s="4">
        <f>Affectations!U32</f>
        <v>0</v>
      </c>
      <c r="X33" s="4">
        <f>Affectations!W32</f>
        <v>0</v>
      </c>
      <c r="Y33" s="4">
        <f>Affectations!W32</f>
        <v>0</v>
      </c>
      <c r="Z33" s="4">
        <f>Affectations!Y32</f>
        <v>0</v>
      </c>
      <c r="AA33" s="4">
        <f>Affectations!Y32</f>
        <v>0</v>
      </c>
      <c r="AB33" s="4">
        <f>Affectations!AA32</f>
        <v>0</v>
      </c>
      <c r="AC33" s="4">
        <f>Affectations!AA32</f>
        <v>0</v>
      </c>
      <c r="AD33" s="4">
        <f>Affectations!AC32</f>
        <v>0</v>
      </c>
      <c r="AE33" s="4">
        <f>Affectations!AC32</f>
        <v>0</v>
      </c>
      <c r="AF33" s="4">
        <f>Affectations!AE32</f>
        <v>0</v>
      </c>
      <c r="AG33" s="4">
        <f>Affectations!AE32</f>
        <v>0</v>
      </c>
      <c r="AH33" s="4">
        <f>Affectations!AG32</f>
        <v>0</v>
      </c>
      <c r="AI33" s="4">
        <f>Affectations!AG32</f>
        <v>0</v>
      </c>
      <c r="AJ33" s="4">
        <f>Affectations!AI32</f>
        <v>0</v>
      </c>
      <c r="AK33" s="4">
        <f>Affectations!AI32</f>
        <v>0</v>
      </c>
      <c r="AL33" s="4" t="e">
        <f>Affectations!#REF!</f>
        <v>#REF!</v>
      </c>
      <c r="AM33" s="4" t="e">
        <f>Affectations!#REF!</f>
        <v>#REF!</v>
      </c>
      <c r="AN33" s="4" t="e">
        <f>Affectations!#REF!</f>
        <v>#REF!</v>
      </c>
      <c r="AO33" s="4" t="e">
        <f>Affectations!#REF!</f>
        <v>#REF!</v>
      </c>
    </row>
    <row r="34" spans="3:42" x14ac:dyDescent="0.25">
      <c r="C34" s="4" t="str">
        <f>'E4-2016'!E33</f>
        <v>CEVE</v>
      </c>
      <c r="D34" s="4" t="str">
        <f>'E4-2016'!B33</f>
        <v>CFA EVE</v>
      </c>
      <c r="E34" s="4" t="str">
        <f>'E4-2016'!D33</f>
        <v>0912119J</v>
      </c>
      <c r="F34" s="4">
        <f>Affectations!E33</f>
        <v>0</v>
      </c>
      <c r="G34" s="4">
        <f>Affectations!E33</f>
        <v>0</v>
      </c>
      <c r="H34" s="4">
        <f>Affectations!G33</f>
        <v>0</v>
      </c>
      <c r="I34" s="4">
        <f>Affectations!G33</f>
        <v>0</v>
      </c>
      <c r="J34" s="4">
        <f>Affectations!I33</f>
        <v>0</v>
      </c>
      <c r="K34" s="4">
        <f>Affectations!I33</f>
        <v>0</v>
      </c>
      <c r="L34" s="4">
        <f>Affectations!K33</f>
        <v>0</v>
      </c>
      <c r="M34" s="4">
        <f>Affectations!K33</f>
        <v>0</v>
      </c>
      <c r="N34" s="4">
        <f>Affectations!M33</f>
        <v>0</v>
      </c>
      <c r="O34" s="4">
        <f>Affectations!M33</f>
        <v>0</v>
      </c>
      <c r="P34" s="4">
        <f>Affectations!O33</f>
        <v>1</v>
      </c>
      <c r="Q34" s="4">
        <f>Affectations!O33</f>
        <v>1</v>
      </c>
      <c r="R34" s="4">
        <f>Affectations!Q33</f>
        <v>1</v>
      </c>
      <c r="S34" s="4">
        <f>Affectations!Q33</f>
        <v>1</v>
      </c>
      <c r="T34" s="4">
        <f>Affectations!S33</f>
        <v>1</v>
      </c>
      <c r="U34" s="4">
        <f>Affectations!S33</f>
        <v>1</v>
      </c>
      <c r="V34" s="4">
        <f>Affectations!U33</f>
        <v>1</v>
      </c>
      <c r="W34" s="4">
        <f>Affectations!U33</f>
        <v>1</v>
      </c>
      <c r="X34" s="4">
        <f>Affectations!W33</f>
        <v>1</v>
      </c>
      <c r="Y34" s="4">
        <f>Affectations!W33</f>
        <v>1</v>
      </c>
      <c r="Z34" s="4">
        <f>Affectations!Y33</f>
        <v>0</v>
      </c>
      <c r="AA34" s="4">
        <f>Affectations!Y33</f>
        <v>0</v>
      </c>
      <c r="AB34" s="4">
        <f>Affectations!AA33</f>
        <v>0</v>
      </c>
      <c r="AC34" s="4">
        <f>Affectations!AA33</f>
        <v>0</v>
      </c>
      <c r="AD34" s="4">
        <f>Affectations!AC33</f>
        <v>0</v>
      </c>
      <c r="AE34" s="4">
        <f>Affectations!AC33</f>
        <v>0</v>
      </c>
      <c r="AF34" s="4">
        <f>Affectations!AE33</f>
        <v>0</v>
      </c>
      <c r="AG34" s="4">
        <f>Affectations!AE33</f>
        <v>0</v>
      </c>
      <c r="AH34" s="4">
        <f>Affectations!AG33</f>
        <v>0</v>
      </c>
      <c r="AI34" s="4">
        <f>Affectations!AG33</f>
        <v>0</v>
      </c>
      <c r="AJ34" s="4">
        <f>Affectations!AI33</f>
        <v>0</v>
      </c>
      <c r="AK34" s="4">
        <f>Affectations!AI33</f>
        <v>0</v>
      </c>
      <c r="AL34" s="4" t="e">
        <f>Affectations!#REF!</f>
        <v>#REF!</v>
      </c>
      <c r="AM34" s="4" t="e">
        <f>Affectations!#REF!</f>
        <v>#REF!</v>
      </c>
      <c r="AN34" s="4" t="e">
        <f>Affectations!#REF!</f>
        <v>#REF!</v>
      </c>
      <c r="AO34" s="4" t="e">
        <f>Affectations!#REF!</f>
        <v>#REF!</v>
      </c>
    </row>
    <row r="35" spans="3:42" x14ac:dyDescent="0.25">
      <c r="C35" s="4" t="str">
        <f>'E4-2016'!E34</f>
        <v>FDM</v>
      </c>
      <c r="D35" s="4" t="str">
        <f>'E4-2016'!B34</f>
        <v>CFA Faculté des métiers</v>
      </c>
      <c r="E35" s="4" t="str">
        <f>'E4-2016'!D34</f>
        <v>0912263R</v>
      </c>
      <c r="F35" s="4">
        <f>Affectations!E34</f>
        <v>1</v>
      </c>
      <c r="G35" s="4">
        <f>Affectations!E34</f>
        <v>1</v>
      </c>
      <c r="H35" s="4">
        <f>Affectations!G34</f>
        <v>1</v>
      </c>
      <c r="I35" s="4">
        <f>Affectations!G34</f>
        <v>1</v>
      </c>
      <c r="J35" s="4">
        <f>Affectations!I34</f>
        <v>1</v>
      </c>
      <c r="K35" s="4">
        <f>Affectations!I34</f>
        <v>1</v>
      </c>
      <c r="L35" s="4">
        <f>Affectations!K34</f>
        <v>1</v>
      </c>
      <c r="M35" s="4">
        <f>Affectations!K34</f>
        <v>1</v>
      </c>
      <c r="N35" s="4">
        <f>Affectations!M34</f>
        <v>0</v>
      </c>
      <c r="O35" s="4">
        <f>Affectations!M34</f>
        <v>0</v>
      </c>
      <c r="P35" s="4">
        <f>Affectations!O34</f>
        <v>0</v>
      </c>
      <c r="Q35" s="4">
        <f>Affectations!O34</f>
        <v>0</v>
      </c>
      <c r="R35" s="4">
        <f>Affectations!Q34</f>
        <v>0</v>
      </c>
      <c r="S35" s="4">
        <f>Affectations!Q34</f>
        <v>0</v>
      </c>
      <c r="T35" s="4">
        <f>Affectations!S34</f>
        <v>0</v>
      </c>
      <c r="U35" s="4">
        <f>Affectations!S34</f>
        <v>0</v>
      </c>
      <c r="V35" s="4">
        <f>Affectations!U34</f>
        <v>0</v>
      </c>
      <c r="W35" s="4">
        <f>Affectations!U34</f>
        <v>0</v>
      </c>
      <c r="X35" s="4">
        <f>Affectations!W34</f>
        <v>0</v>
      </c>
      <c r="Y35" s="4">
        <f>Affectations!W34</f>
        <v>0</v>
      </c>
      <c r="Z35" s="4">
        <f>Affectations!Y34</f>
        <v>0</v>
      </c>
      <c r="AA35" s="4">
        <f>Affectations!Y34</f>
        <v>0</v>
      </c>
      <c r="AB35" s="4">
        <f>Affectations!AA34</f>
        <v>0</v>
      </c>
      <c r="AC35" s="4">
        <f>Affectations!AA34</f>
        <v>0</v>
      </c>
      <c r="AD35" s="4">
        <f>Affectations!AC34</f>
        <v>0</v>
      </c>
      <c r="AE35" s="4">
        <f>Affectations!AC34</f>
        <v>0</v>
      </c>
      <c r="AF35" s="4">
        <f>Affectations!AE34</f>
        <v>0</v>
      </c>
      <c r="AG35" s="4">
        <f>Affectations!AE34</f>
        <v>0</v>
      </c>
      <c r="AH35" s="4">
        <f>Affectations!AG34</f>
        <v>0</v>
      </c>
      <c r="AI35" s="4">
        <f>Affectations!AG34</f>
        <v>0</v>
      </c>
      <c r="AJ35" s="4">
        <f>Affectations!AI34</f>
        <v>0</v>
      </c>
      <c r="AK35" s="4">
        <f>Affectations!AI34</f>
        <v>0</v>
      </c>
      <c r="AL35" s="4" t="e">
        <f>Affectations!#REF!</f>
        <v>#REF!</v>
      </c>
      <c r="AM35" s="4" t="e">
        <f>Affectations!#REF!</f>
        <v>#REF!</v>
      </c>
      <c r="AN35" s="4" t="e">
        <f>Affectations!#REF!</f>
        <v>#REF!</v>
      </c>
      <c r="AO35" s="4" t="e">
        <f>Affectations!#REF!</f>
        <v>#REF!</v>
      </c>
    </row>
    <row r="36" spans="3:42" x14ac:dyDescent="0.25">
      <c r="C36" s="4" t="str">
        <f>'E4-2016'!E35</f>
        <v>AFOR</v>
      </c>
      <c r="D36" s="4" t="str">
        <f>'E4-2016'!B35</f>
        <v>AFORP</v>
      </c>
      <c r="E36" s="4" t="str">
        <f>'E4-2016'!D35</f>
        <v>0921274K</v>
      </c>
      <c r="F36" s="4">
        <f>Affectations!E35</f>
        <v>0</v>
      </c>
      <c r="G36" s="4">
        <f>Affectations!E35</f>
        <v>0</v>
      </c>
      <c r="H36" s="4">
        <f>Affectations!G35</f>
        <v>0</v>
      </c>
      <c r="I36" s="4">
        <f>Affectations!G35</f>
        <v>0</v>
      </c>
      <c r="J36" s="4">
        <f>Affectations!I35</f>
        <v>0</v>
      </c>
      <c r="K36" s="4">
        <f>Affectations!I35</f>
        <v>0</v>
      </c>
      <c r="L36" s="4">
        <f>Affectations!K35</f>
        <v>0</v>
      </c>
      <c r="M36" s="4">
        <f>Affectations!K35</f>
        <v>0</v>
      </c>
      <c r="N36" s="4">
        <f>Affectations!M35</f>
        <v>0</v>
      </c>
      <c r="O36" s="4">
        <f>Affectations!M35</f>
        <v>0</v>
      </c>
      <c r="P36" s="4">
        <f>Affectations!O35</f>
        <v>0</v>
      </c>
      <c r="Q36" s="4">
        <f>Affectations!O35</f>
        <v>0</v>
      </c>
      <c r="R36" s="4">
        <f>Affectations!Q35</f>
        <v>0</v>
      </c>
      <c r="S36" s="4">
        <f>Affectations!Q35</f>
        <v>0</v>
      </c>
      <c r="T36" s="4">
        <f>Affectations!S35</f>
        <v>0</v>
      </c>
      <c r="U36" s="4">
        <f>Affectations!S35</f>
        <v>0</v>
      </c>
      <c r="V36" s="4">
        <f>Affectations!U35</f>
        <v>1</v>
      </c>
      <c r="W36" s="4">
        <f>Affectations!U35</f>
        <v>1</v>
      </c>
      <c r="X36" s="4">
        <f>Affectations!W35</f>
        <v>1</v>
      </c>
      <c r="Y36" s="4">
        <f>Affectations!W35</f>
        <v>1</v>
      </c>
      <c r="Z36" s="4">
        <f>Affectations!Y35</f>
        <v>1</v>
      </c>
      <c r="AA36" s="4">
        <f>Affectations!Y35</f>
        <v>1</v>
      </c>
      <c r="AB36" s="4">
        <f>Affectations!AA35</f>
        <v>0</v>
      </c>
      <c r="AC36" s="4">
        <f>Affectations!AA35</f>
        <v>0</v>
      </c>
      <c r="AD36" s="4">
        <f>Affectations!AC35</f>
        <v>0</v>
      </c>
      <c r="AE36" s="4">
        <f>Affectations!AC35</f>
        <v>0</v>
      </c>
      <c r="AF36" s="4">
        <f>Affectations!AE35</f>
        <v>0</v>
      </c>
      <c r="AG36" s="4">
        <f>Affectations!AE35</f>
        <v>0</v>
      </c>
      <c r="AH36" s="4">
        <f>Affectations!AG35</f>
        <v>0</v>
      </c>
      <c r="AI36" s="4">
        <f>Affectations!AG35</f>
        <v>0</v>
      </c>
      <c r="AJ36" s="4">
        <f>Affectations!AI35</f>
        <v>0</v>
      </c>
      <c r="AK36" s="4">
        <f>Affectations!AI35</f>
        <v>0</v>
      </c>
      <c r="AL36" s="4" t="e">
        <f>Affectations!#REF!</f>
        <v>#REF!</v>
      </c>
      <c r="AM36" s="4" t="e">
        <f>Affectations!#REF!</f>
        <v>#REF!</v>
      </c>
      <c r="AN36" s="4" t="e">
        <f>Affectations!#REF!</f>
        <v>#REF!</v>
      </c>
      <c r="AO36" s="4" t="e">
        <f>Affectations!#REF!</f>
        <v>#REF!</v>
      </c>
    </row>
    <row r="37" spans="3:42" x14ac:dyDescent="0.25">
      <c r="C37" s="4" t="str">
        <f>'E4-2016'!E36</f>
        <v>EPSI</v>
      </c>
      <c r="D37" s="4" t="str">
        <f>'E4-2016'!B36</f>
        <v>EPSI</v>
      </c>
      <c r="E37" s="4" t="str">
        <f>'E4-2016'!D36</f>
        <v>0922467G</v>
      </c>
      <c r="F37" s="4">
        <f>Affectations!E36</f>
        <v>0</v>
      </c>
      <c r="G37" s="4">
        <f>Affectations!E36</f>
        <v>0</v>
      </c>
      <c r="H37" s="4">
        <f>Affectations!G36</f>
        <v>0</v>
      </c>
      <c r="I37" s="4">
        <f>Affectations!G36</f>
        <v>0</v>
      </c>
      <c r="J37" s="4">
        <f>Affectations!I36</f>
        <v>1</v>
      </c>
      <c r="K37" s="4">
        <f>Affectations!I36</f>
        <v>1</v>
      </c>
      <c r="L37" s="4">
        <f>Affectations!K36</f>
        <v>1</v>
      </c>
      <c r="M37" s="4">
        <f>Affectations!K36</f>
        <v>1</v>
      </c>
      <c r="N37" s="4">
        <f>Affectations!M36</f>
        <v>0</v>
      </c>
      <c r="O37" s="4">
        <f>Affectations!M36</f>
        <v>0</v>
      </c>
      <c r="P37" s="4">
        <f>Affectations!O36</f>
        <v>0</v>
      </c>
      <c r="Q37" s="4">
        <f>Affectations!O36</f>
        <v>0</v>
      </c>
      <c r="R37" s="4">
        <f>Affectations!Q36</f>
        <v>0</v>
      </c>
      <c r="S37" s="4">
        <f>Affectations!Q36</f>
        <v>0</v>
      </c>
      <c r="T37" s="4">
        <f>Affectations!S36</f>
        <v>0</v>
      </c>
      <c r="U37" s="4">
        <f>Affectations!S36</f>
        <v>0</v>
      </c>
      <c r="V37" s="4">
        <f>Affectations!U36</f>
        <v>0</v>
      </c>
      <c r="W37" s="4">
        <f>Affectations!U36</f>
        <v>0</v>
      </c>
      <c r="X37" s="4">
        <f>Affectations!W36</f>
        <v>0</v>
      </c>
      <c r="Y37" s="4">
        <f>Affectations!W36</f>
        <v>0</v>
      </c>
      <c r="Z37" s="4">
        <f>Affectations!Y36</f>
        <v>0</v>
      </c>
      <c r="AA37" s="4">
        <f>Affectations!Y36</f>
        <v>0</v>
      </c>
      <c r="AB37" s="4">
        <f>Affectations!AA36</f>
        <v>0</v>
      </c>
      <c r="AC37" s="4">
        <f>Affectations!AA36</f>
        <v>0</v>
      </c>
      <c r="AD37" s="4">
        <f>Affectations!AC36</f>
        <v>0</v>
      </c>
      <c r="AE37" s="4">
        <f>Affectations!AC36</f>
        <v>0</v>
      </c>
      <c r="AF37" s="4">
        <f>Affectations!AE36</f>
        <v>0</v>
      </c>
      <c r="AG37" s="4">
        <f>Affectations!AE36</f>
        <v>0</v>
      </c>
      <c r="AH37" s="4">
        <f>Affectations!AG36</f>
        <v>0</v>
      </c>
      <c r="AI37" s="4">
        <f>Affectations!AG36</f>
        <v>0</v>
      </c>
      <c r="AJ37" s="4">
        <f>Affectations!AI36</f>
        <v>0</v>
      </c>
      <c r="AK37" s="4">
        <f>Affectations!AI36</f>
        <v>0</v>
      </c>
      <c r="AL37" s="4" t="e">
        <f>Affectations!#REF!</f>
        <v>#REF!</v>
      </c>
      <c r="AM37" s="4" t="e">
        <f>Affectations!#REF!</f>
        <v>#REF!</v>
      </c>
      <c r="AN37" s="4" t="e">
        <f>Affectations!#REF!</f>
        <v>#REF!</v>
      </c>
      <c r="AO37" s="4" t="e">
        <f>Affectations!#REF!</f>
        <v>#REF!</v>
      </c>
    </row>
    <row r="38" spans="3:42" x14ac:dyDescent="0.25">
      <c r="C38" s="4" t="str">
        <f>'E4-2016'!E37</f>
        <v>HITE</v>
      </c>
      <c r="D38" s="4" t="str">
        <f>'E4-2016'!B37</f>
        <v>HITEMA</v>
      </c>
      <c r="E38" s="4" t="str">
        <f>'E4-2016'!D37</f>
        <v>0922614S</v>
      </c>
      <c r="F38" s="4">
        <f>Affectations!E37</f>
        <v>0</v>
      </c>
      <c r="G38" s="4">
        <f>Affectations!E37</f>
        <v>0</v>
      </c>
      <c r="H38" s="4">
        <f>Affectations!G37</f>
        <v>0</v>
      </c>
      <c r="I38" s="4">
        <f>Affectations!G37</f>
        <v>0</v>
      </c>
      <c r="J38" s="4">
        <f>Affectations!I37</f>
        <v>0</v>
      </c>
      <c r="K38" s="4">
        <f>Affectations!I37</f>
        <v>0</v>
      </c>
      <c r="L38" s="4">
        <f>Affectations!K37</f>
        <v>0</v>
      </c>
      <c r="M38" s="4">
        <f>Affectations!K37</f>
        <v>0</v>
      </c>
      <c r="N38" s="4">
        <f>Affectations!M37</f>
        <v>0</v>
      </c>
      <c r="O38" s="4">
        <f>Affectations!M37</f>
        <v>0</v>
      </c>
      <c r="P38" s="4">
        <f>Affectations!O37</f>
        <v>0</v>
      </c>
      <c r="Q38" s="4">
        <f>Affectations!O37</f>
        <v>0</v>
      </c>
      <c r="R38" s="4">
        <f>Affectations!Q37</f>
        <v>0</v>
      </c>
      <c r="S38" s="4">
        <f>Affectations!Q37</f>
        <v>0</v>
      </c>
      <c r="T38" s="4">
        <f>Affectations!S37</f>
        <v>0</v>
      </c>
      <c r="U38" s="4">
        <f>Affectations!S37</f>
        <v>0</v>
      </c>
      <c r="V38" s="4">
        <f>Affectations!U37</f>
        <v>0</v>
      </c>
      <c r="W38" s="4">
        <f>Affectations!U37</f>
        <v>0</v>
      </c>
      <c r="X38" s="4">
        <f>Affectations!W37</f>
        <v>0</v>
      </c>
      <c r="Y38" s="4">
        <f>Affectations!W37</f>
        <v>0</v>
      </c>
      <c r="Z38" s="4">
        <f>Affectations!Y37</f>
        <v>0</v>
      </c>
      <c r="AA38" s="4">
        <f>Affectations!Y37</f>
        <v>0</v>
      </c>
      <c r="AB38" s="4">
        <f>Affectations!AA37</f>
        <v>2</v>
      </c>
      <c r="AC38" s="4">
        <f>Affectations!AA37</f>
        <v>2</v>
      </c>
      <c r="AD38" s="4">
        <f>Affectations!AC37</f>
        <v>2</v>
      </c>
      <c r="AE38" s="4">
        <f>Affectations!AC37</f>
        <v>2</v>
      </c>
      <c r="AF38" s="4">
        <f>Affectations!AE37</f>
        <v>2</v>
      </c>
      <c r="AG38" s="4">
        <f>Affectations!AE37</f>
        <v>2</v>
      </c>
      <c r="AH38" s="4">
        <f>Affectations!AG37</f>
        <v>2</v>
      </c>
      <c r="AI38" s="4">
        <f>Affectations!AG37</f>
        <v>2</v>
      </c>
      <c r="AJ38" s="4">
        <f>Affectations!AI37</f>
        <v>1</v>
      </c>
      <c r="AK38" s="4">
        <f>Affectations!AI37</f>
        <v>1</v>
      </c>
      <c r="AL38" s="4" t="e">
        <f>Affectations!#REF!</f>
        <v>#REF!</v>
      </c>
      <c r="AM38" s="4" t="e">
        <f>Affectations!#REF!</f>
        <v>#REF!</v>
      </c>
      <c r="AN38" s="4" t="e">
        <f>Affectations!#REF!</f>
        <v>#REF!</v>
      </c>
      <c r="AO38" s="4" t="e">
        <f>Affectations!#REF!</f>
        <v>#REF!</v>
      </c>
    </row>
    <row r="39" spans="3:42" x14ac:dyDescent="0.25">
      <c r="C39" s="4" t="str">
        <f>'E4-2016'!E38</f>
        <v>ESJ</v>
      </c>
      <c r="D39" s="4" t="str">
        <f>'E4-2016'!B38</f>
        <v>Ecole Santé et Juridique</v>
      </c>
      <c r="E39" s="4" t="str">
        <f>'E4-2016'!D38</f>
        <v>0922856E</v>
      </c>
      <c r="F39" s="4">
        <f>Affectations!E38</f>
        <v>0</v>
      </c>
      <c r="G39" s="4">
        <f>Affectations!E38</f>
        <v>0</v>
      </c>
      <c r="H39" s="4">
        <f>Affectations!G38</f>
        <v>0</v>
      </c>
      <c r="I39" s="4">
        <f>Affectations!G38</f>
        <v>0</v>
      </c>
      <c r="J39" s="4">
        <f>Affectations!I38</f>
        <v>0</v>
      </c>
      <c r="K39" s="4">
        <f>Affectations!I38</f>
        <v>0</v>
      </c>
      <c r="L39" s="4">
        <f>Affectations!K38</f>
        <v>1</v>
      </c>
      <c r="M39" s="4">
        <f>Affectations!K38</f>
        <v>1</v>
      </c>
      <c r="N39" s="4">
        <f>Affectations!M38</f>
        <v>1</v>
      </c>
      <c r="O39" s="4">
        <f>Affectations!M38</f>
        <v>1</v>
      </c>
      <c r="P39" s="4">
        <f>Affectations!O38</f>
        <v>1</v>
      </c>
      <c r="Q39" s="4">
        <f>Affectations!O38</f>
        <v>1</v>
      </c>
      <c r="R39" s="4">
        <f>Affectations!Q38</f>
        <v>1</v>
      </c>
      <c r="S39" s="4">
        <f>Affectations!Q38</f>
        <v>1</v>
      </c>
      <c r="T39" s="4">
        <f>Affectations!S38</f>
        <v>1</v>
      </c>
      <c r="U39" s="4">
        <f>Affectations!S38</f>
        <v>1</v>
      </c>
      <c r="V39" s="4">
        <f>Affectations!U38</f>
        <v>0</v>
      </c>
      <c r="W39" s="4">
        <f>Affectations!U38</f>
        <v>0</v>
      </c>
      <c r="X39" s="4">
        <f>Affectations!W38</f>
        <v>0</v>
      </c>
      <c r="Y39" s="4">
        <f>Affectations!W38</f>
        <v>0</v>
      </c>
      <c r="Z39" s="4">
        <f>Affectations!Y38</f>
        <v>0</v>
      </c>
      <c r="AA39" s="4">
        <f>Affectations!Y38</f>
        <v>0</v>
      </c>
      <c r="AB39" s="4">
        <f>Affectations!AA38</f>
        <v>0</v>
      </c>
      <c r="AC39" s="4">
        <f>Affectations!AA38</f>
        <v>0</v>
      </c>
      <c r="AD39" s="4">
        <f>Affectations!AC38</f>
        <v>0</v>
      </c>
      <c r="AE39" s="4">
        <f>Affectations!AC38</f>
        <v>0</v>
      </c>
      <c r="AF39" s="4">
        <f>Affectations!AE38</f>
        <v>0</v>
      </c>
      <c r="AG39" s="4">
        <f>Affectations!AE38</f>
        <v>0</v>
      </c>
      <c r="AH39" s="4">
        <f>Affectations!AG38</f>
        <v>0</v>
      </c>
      <c r="AI39" s="4">
        <f>Affectations!AG38</f>
        <v>0</v>
      </c>
      <c r="AJ39" s="4">
        <f>Affectations!AI38</f>
        <v>0</v>
      </c>
      <c r="AK39" s="4">
        <f>Affectations!AI38</f>
        <v>0</v>
      </c>
      <c r="AL39" s="4" t="e">
        <f>Affectations!#REF!</f>
        <v>#REF!</v>
      </c>
      <c r="AM39" s="4" t="e">
        <f>Affectations!#REF!</f>
        <v>#REF!</v>
      </c>
      <c r="AN39" s="4" t="e">
        <f>Affectations!#REF!</f>
        <v>#REF!</v>
      </c>
      <c r="AO39" s="4" t="e">
        <f>Affectations!#REF!</f>
        <v>#REF!</v>
      </c>
    </row>
    <row r="40" spans="3:42" x14ac:dyDescent="0.25">
      <c r="C40" s="4" t="str">
        <f>'E4-2016'!E39</f>
        <v>IMIP</v>
      </c>
      <c r="D40" s="4" t="str">
        <f>'E4-2016'!B39</f>
        <v>IMIE Paris</v>
      </c>
      <c r="E40" s="4" t="str">
        <f>'E4-2016'!D39</f>
        <v>0922863M</v>
      </c>
      <c r="F40" s="4">
        <f>Affectations!E39</f>
        <v>2</v>
      </c>
      <c r="G40" s="4">
        <f>Affectations!E39</f>
        <v>2</v>
      </c>
      <c r="H40" s="4">
        <f>Affectations!G39</f>
        <v>2</v>
      </c>
      <c r="I40" s="4">
        <f>Affectations!G39</f>
        <v>2</v>
      </c>
      <c r="J40" s="4">
        <f>Affectations!I39</f>
        <v>2</v>
      </c>
      <c r="K40" s="4">
        <f>Affectations!I39</f>
        <v>2</v>
      </c>
      <c r="L40" s="4">
        <f>Affectations!K39</f>
        <v>2</v>
      </c>
      <c r="M40" s="4">
        <f>Affectations!K39</f>
        <v>2</v>
      </c>
      <c r="N40" s="4">
        <f>Affectations!M39</f>
        <v>1</v>
      </c>
      <c r="O40" s="4">
        <f>Affectations!M39</f>
        <v>1</v>
      </c>
      <c r="P40" s="4">
        <f>Affectations!O39</f>
        <v>0</v>
      </c>
      <c r="Q40" s="4">
        <f>Affectations!O39</f>
        <v>0</v>
      </c>
      <c r="R40" s="4">
        <f>Affectations!Q39</f>
        <v>0</v>
      </c>
      <c r="S40" s="4">
        <f>Affectations!Q39</f>
        <v>0</v>
      </c>
      <c r="T40" s="4">
        <f>Affectations!S39</f>
        <v>0</v>
      </c>
      <c r="U40" s="4">
        <f>Affectations!S39</f>
        <v>0</v>
      </c>
      <c r="V40" s="4">
        <f>Affectations!U39</f>
        <v>0</v>
      </c>
      <c r="W40" s="4">
        <f>Affectations!U39</f>
        <v>0</v>
      </c>
      <c r="X40" s="4">
        <f>Affectations!W39</f>
        <v>0</v>
      </c>
      <c r="Y40" s="4">
        <f>Affectations!W39</f>
        <v>0</v>
      </c>
      <c r="Z40" s="4">
        <f>Affectations!Y39</f>
        <v>0</v>
      </c>
      <c r="AA40" s="4">
        <f>Affectations!Y39</f>
        <v>0</v>
      </c>
      <c r="AB40" s="4">
        <f>Affectations!AA39</f>
        <v>0</v>
      </c>
      <c r="AC40" s="4">
        <f>Affectations!AA39</f>
        <v>0</v>
      </c>
      <c r="AD40" s="4">
        <f>Affectations!AC39</f>
        <v>0</v>
      </c>
      <c r="AE40" s="4">
        <f>Affectations!AC39</f>
        <v>0</v>
      </c>
      <c r="AF40" s="4">
        <f>Affectations!AE39</f>
        <v>0</v>
      </c>
      <c r="AG40" s="4">
        <f>Affectations!AE39</f>
        <v>0</v>
      </c>
      <c r="AH40" s="4">
        <f>Affectations!AG39</f>
        <v>0</v>
      </c>
      <c r="AI40" s="4">
        <f>Affectations!AG39</f>
        <v>0</v>
      </c>
      <c r="AJ40" s="4">
        <f>Affectations!AI39</f>
        <v>0</v>
      </c>
      <c r="AK40" s="4">
        <f>Affectations!AI39</f>
        <v>0</v>
      </c>
      <c r="AL40" s="4" t="e">
        <f>Affectations!#REF!</f>
        <v>#REF!</v>
      </c>
      <c r="AM40" s="4" t="e">
        <f>Affectations!#REF!</f>
        <v>#REF!</v>
      </c>
      <c r="AN40" s="4" t="e">
        <f>Affectations!#REF!</f>
        <v>#REF!</v>
      </c>
      <c r="AO40" s="4" t="e">
        <f>Affectations!#REF!</f>
        <v>#REF!</v>
      </c>
    </row>
    <row r="41" spans="3:42" x14ac:dyDescent="0.25">
      <c r="C41" s="4" t="str">
        <f>'E4-2016'!E40</f>
        <v>ELYC</v>
      </c>
      <c r="D41" s="4" t="str">
        <f>'E4-2016'!B40</f>
        <v>Elyon Company</v>
      </c>
      <c r="E41" s="4" t="str">
        <f>'E4-2016'!D40</f>
        <v>0922873Y</v>
      </c>
      <c r="F41" s="4">
        <f>Affectations!E40</f>
        <v>0</v>
      </c>
      <c r="G41" s="4">
        <f>Affectations!E40</f>
        <v>0</v>
      </c>
      <c r="H41" s="4">
        <f>Affectations!G40</f>
        <v>0</v>
      </c>
      <c r="I41" s="4">
        <f>Affectations!G40</f>
        <v>0</v>
      </c>
      <c r="J41" s="4">
        <f>Affectations!I40</f>
        <v>0</v>
      </c>
      <c r="K41" s="4">
        <f>Affectations!I40</f>
        <v>0</v>
      </c>
      <c r="L41" s="4">
        <f>Affectations!K40</f>
        <v>0</v>
      </c>
      <c r="M41" s="4">
        <f>Affectations!K40</f>
        <v>0</v>
      </c>
      <c r="N41" s="4">
        <f>Affectations!M40</f>
        <v>0</v>
      </c>
      <c r="O41" s="4">
        <f>Affectations!M40</f>
        <v>0</v>
      </c>
      <c r="P41" s="4">
        <f>Affectations!O40</f>
        <v>0</v>
      </c>
      <c r="Q41" s="4">
        <f>Affectations!O40</f>
        <v>0</v>
      </c>
      <c r="R41" s="4">
        <f>Affectations!Q40</f>
        <v>0</v>
      </c>
      <c r="S41" s="4">
        <f>Affectations!Q40</f>
        <v>0</v>
      </c>
      <c r="T41" s="4">
        <f>Affectations!S40</f>
        <v>0</v>
      </c>
      <c r="U41" s="4">
        <f>Affectations!S40</f>
        <v>0</v>
      </c>
      <c r="V41" s="4">
        <f>Affectations!U40</f>
        <v>0</v>
      </c>
      <c r="W41" s="4">
        <f>Affectations!U40</f>
        <v>0</v>
      </c>
      <c r="X41" s="4">
        <f>Affectations!W40</f>
        <v>0</v>
      </c>
      <c r="Y41" s="4">
        <f>Affectations!W40</f>
        <v>0</v>
      </c>
      <c r="Z41" s="4">
        <f>Affectations!Y40</f>
        <v>0</v>
      </c>
      <c r="AA41" s="4">
        <f>Affectations!Y40</f>
        <v>0</v>
      </c>
      <c r="AB41" s="4">
        <f>Affectations!AA40</f>
        <v>0</v>
      </c>
      <c r="AC41" s="4">
        <f>Affectations!AA40</f>
        <v>0</v>
      </c>
      <c r="AD41" s="4">
        <f>Affectations!AC40</f>
        <v>0</v>
      </c>
      <c r="AE41" s="4">
        <f>Affectations!AC40</f>
        <v>0</v>
      </c>
      <c r="AF41" s="4">
        <f>Affectations!AE40</f>
        <v>0</v>
      </c>
      <c r="AG41" s="4">
        <f>Affectations!AE40</f>
        <v>0</v>
      </c>
      <c r="AH41" s="4">
        <f>Affectations!AG40</f>
        <v>0</v>
      </c>
      <c r="AI41" s="4">
        <f>Affectations!AG40</f>
        <v>0</v>
      </c>
      <c r="AJ41" s="4">
        <f>Affectations!AI40</f>
        <v>0</v>
      </c>
      <c r="AK41" s="4">
        <f>Affectations!AI40</f>
        <v>0</v>
      </c>
      <c r="AL41" s="4" t="e">
        <f>Affectations!#REF!</f>
        <v>#REF!</v>
      </c>
      <c r="AM41" s="4" t="e">
        <f>Affectations!#REF!</f>
        <v>#REF!</v>
      </c>
      <c r="AN41" s="4" t="e">
        <f>Affectations!#REF!</f>
        <v>#REF!</v>
      </c>
      <c r="AO41" s="4" t="e">
        <f>Affectations!#REF!</f>
        <v>#REF!</v>
      </c>
    </row>
    <row r="42" spans="3:42" x14ac:dyDescent="0.25">
      <c r="C42" s="4" t="str">
        <f>'E4-2016'!E41</f>
        <v>AFF</v>
      </c>
      <c r="D42" s="4" t="str">
        <f>'E4-2016'!B41</f>
        <v>CFA AFORP FORMATION</v>
      </c>
      <c r="E42" s="4" t="str">
        <f>'E4-2016'!D41</f>
        <v>0932760V</v>
      </c>
      <c r="F42" s="4">
        <f>Affectations!E41</f>
        <v>1</v>
      </c>
      <c r="G42" s="4">
        <f>Affectations!E41</f>
        <v>1</v>
      </c>
      <c r="H42" s="4">
        <f>Affectations!G41</f>
        <v>1</v>
      </c>
      <c r="I42" s="4">
        <f>Affectations!G41</f>
        <v>1</v>
      </c>
      <c r="J42" s="4">
        <f>Affectations!I41</f>
        <v>0</v>
      </c>
      <c r="K42" s="4">
        <f>Affectations!I41</f>
        <v>0</v>
      </c>
      <c r="L42" s="4">
        <f>Affectations!K41</f>
        <v>0</v>
      </c>
      <c r="M42" s="4">
        <f>Affectations!K41</f>
        <v>0</v>
      </c>
      <c r="N42" s="4">
        <f>Affectations!M41</f>
        <v>0</v>
      </c>
      <c r="O42" s="4">
        <f>Affectations!M41</f>
        <v>0</v>
      </c>
      <c r="P42" s="4">
        <f>Affectations!O41</f>
        <v>0</v>
      </c>
      <c r="Q42" s="4">
        <f>Affectations!O41</f>
        <v>0</v>
      </c>
      <c r="R42" s="4">
        <f>Affectations!Q41</f>
        <v>0</v>
      </c>
      <c r="S42" s="4">
        <f>Affectations!Q41</f>
        <v>0</v>
      </c>
      <c r="T42" s="4">
        <f>Affectations!S41</f>
        <v>0</v>
      </c>
      <c r="U42" s="4">
        <f>Affectations!S41</f>
        <v>0</v>
      </c>
      <c r="V42" s="4">
        <f>Affectations!U41</f>
        <v>0</v>
      </c>
      <c r="W42" s="4">
        <f>Affectations!U41</f>
        <v>0</v>
      </c>
      <c r="X42" s="4">
        <f>Affectations!W41</f>
        <v>0</v>
      </c>
      <c r="Y42" s="4">
        <f>Affectations!W41</f>
        <v>0</v>
      </c>
      <c r="Z42" s="4">
        <f>Affectations!Y41</f>
        <v>0</v>
      </c>
      <c r="AA42" s="4">
        <f>Affectations!Y41</f>
        <v>0</v>
      </c>
      <c r="AB42" s="4">
        <f>Affectations!AA41</f>
        <v>0</v>
      </c>
      <c r="AC42" s="4">
        <f>Affectations!AA41</f>
        <v>0</v>
      </c>
      <c r="AD42" s="4">
        <f>Affectations!AC41</f>
        <v>0</v>
      </c>
      <c r="AE42" s="4">
        <f>Affectations!AC41</f>
        <v>0</v>
      </c>
      <c r="AF42" s="4">
        <f>Affectations!AE41</f>
        <v>0</v>
      </c>
      <c r="AG42" s="4">
        <f>Affectations!AE41</f>
        <v>0</v>
      </c>
      <c r="AH42" s="4">
        <f>Affectations!AG41</f>
        <v>0</v>
      </c>
      <c r="AI42" s="4">
        <f>Affectations!AG41</f>
        <v>0</v>
      </c>
      <c r="AJ42" s="4">
        <f>Affectations!AI41</f>
        <v>0</v>
      </c>
      <c r="AK42" s="4">
        <f>Affectations!AI41</f>
        <v>0</v>
      </c>
      <c r="AL42" s="4" t="e">
        <f>Affectations!#REF!</f>
        <v>#REF!</v>
      </c>
      <c r="AM42" s="4" t="e">
        <f>Affectations!#REF!</f>
        <v>#REF!</v>
      </c>
      <c r="AN42" s="4" t="e">
        <f>Affectations!#REF!</f>
        <v>#REF!</v>
      </c>
      <c r="AO42" s="4" t="e">
        <f>Affectations!#REF!</f>
        <v>#REF!</v>
      </c>
    </row>
    <row r="43" spans="3:42" x14ac:dyDescent="0.25">
      <c r="C43" s="4" t="str">
        <f>'E4-2016'!E42</f>
        <v>LPB</v>
      </c>
      <c r="D43" s="4" t="str">
        <f>'E4-2016'!B42</f>
        <v>Lycée Paul Bert</v>
      </c>
      <c r="E43" s="4" t="str">
        <f>'E4-2016'!D42</f>
        <v>0941355M</v>
      </c>
      <c r="F43" s="4">
        <f>Affectations!E42</f>
        <v>0</v>
      </c>
      <c r="G43" s="4">
        <f>Affectations!E42</f>
        <v>0</v>
      </c>
      <c r="H43" s="4">
        <f>Affectations!G42</f>
        <v>0</v>
      </c>
      <c r="I43" s="4">
        <f>Affectations!G42</f>
        <v>0</v>
      </c>
      <c r="J43" s="4">
        <f>Affectations!I42</f>
        <v>1</v>
      </c>
      <c r="K43" s="4">
        <f>Affectations!I42</f>
        <v>1</v>
      </c>
      <c r="L43" s="4">
        <f>Affectations!K42</f>
        <v>1</v>
      </c>
      <c r="M43" s="4">
        <f>Affectations!K42</f>
        <v>1</v>
      </c>
      <c r="N43" s="4">
        <f>Affectations!M42</f>
        <v>0</v>
      </c>
      <c r="O43" s="4">
        <f>Affectations!M42</f>
        <v>0</v>
      </c>
      <c r="P43" s="4">
        <f>Affectations!O42</f>
        <v>0</v>
      </c>
      <c r="Q43" s="4">
        <f>Affectations!O42</f>
        <v>0</v>
      </c>
      <c r="R43" s="4">
        <f>Affectations!Q42</f>
        <v>0</v>
      </c>
      <c r="S43" s="4">
        <f>Affectations!Q42</f>
        <v>0</v>
      </c>
      <c r="T43" s="4">
        <f>Affectations!S42</f>
        <v>0</v>
      </c>
      <c r="U43" s="4">
        <f>Affectations!S42</f>
        <v>0</v>
      </c>
      <c r="V43" s="4">
        <f>Affectations!U42</f>
        <v>0</v>
      </c>
      <c r="W43" s="4">
        <f>Affectations!U42</f>
        <v>0</v>
      </c>
      <c r="X43" s="4">
        <f>Affectations!W42</f>
        <v>0</v>
      </c>
      <c r="Y43" s="4">
        <f>Affectations!W42</f>
        <v>0</v>
      </c>
      <c r="Z43" s="4">
        <f>Affectations!Y42</f>
        <v>0</v>
      </c>
      <c r="AA43" s="4">
        <f>Affectations!Y42</f>
        <v>0</v>
      </c>
      <c r="AB43" s="4">
        <f>Affectations!AA42</f>
        <v>0</v>
      </c>
      <c r="AC43" s="4">
        <f>Affectations!AA42</f>
        <v>0</v>
      </c>
      <c r="AD43" s="4">
        <f>Affectations!AC42</f>
        <v>0</v>
      </c>
      <c r="AE43" s="4">
        <f>Affectations!AC42</f>
        <v>0</v>
      </c>
      <c r="AF43" s="4">
        <f>Affectations!AE42</f>
        <v>0</v>
      </c>
      <c r="AG43" s="4">
        <f>Affectations!AE42</f>
        <v>0</v>
      </c>
      <c r="AH43" s="4">
        <f>Affectations!AG42</f>
        <v>0</v>
      </c>
      <c r="AI43" s="4">
        <f>Affectations!AG42</f>
        <v>0</v>
      </c>
      <c r="AJ43" s="4">
        <f>Affectations!AI42</f>
        <v>0</v>
      </c>
      <c r="AK43" s="4">
        <f>Affectations!AI42</f>
        <v>0</v>
      </c>
      <c r="AL43" s="4" t="e">
        <f>Affectations!#REF!</f>
        <v>#REF!</v>
      </c>
      <c r="AM43" s="4" t="e">
        <f>Affectations!#REF!</f>
        <v>#REF!</v>
      </c>
      <c r="AN43" s="4" t="e">
        <f>Affectations!#REF!</f>
        <v>#REF!</v>
      </c>
      <c r="AO43" s="4" t="e">
        <f>Affectations!#REF!</f>
        <v>#REF!</v>
      </c>
    </row>
    <row r="44" spans="3:42" x14ac:dyDescent="0.25">
      <c r="C44" s="4" t="str">
        <f>'E4-2016'!E43</f>
        <v>EFRE</v>
      </c>
      <c r="D44" s="4" t="str">
        <f>'E4-2016'!B43</f>
        <v>EFREI</v>
      </c>
      <c r="E44" s="4" t="str">
        <f>'E4-2016'!D43</f>
        <v>0941934S</v>
      </c>
      <c r="F44" s="4">
        <f>Affectations!E43</f>
        <v>0</v>
      </c>
      <c r="G44" s="4">
        <f>Affectations!E43</f>
        <v>0</v>
      </c>
      <c r="H44" s="4">
        <f>Affectations!G43</f>
        <v>0</v>
      </c>
      <c r="I44" s="4">
        <f>Affectations!G43</f>
        <v>0</v>
      </c>
      <c r="J44" s="4">
        <f>Affectations!I43</f>
        <v>2</v>
      </c>
      <c r="K44" s="4">
        <f>Affectations!I43</f>
        <v>2</v>
      </c>
      <c r="L44" s="4">
        <f>Affectations!K43</f>
        <v>2</v>
      </c>
      <c r="M44" s="4">
        <f>Affectations!K43</f>
        <v>2</v>
      </c>
      <c r="N44" s="4">
        <f>Affectations!M43</f>
        <v>2</v>
      </c>
      <c r="O44" s="4">
        <f>Affectations!M43</f>
        <v>2</v>
      </c>
      <c r="P44" s="4">
        <f>Affectations!O43</f>
        <v>2</v>
      </c>
      <c r="Q44" s="4">
        <f>Affectations!O43</f>
        <v>2</v>
      </c>
      <c r="R44" s="4">
        <f>Affectations!Q43</f>
        <v>2</v>
      </c>
      <c r="S44" s="4">
        <f>Affectations!Q43</f>
        <v>2</v>
      </c>
      <c r="T44" s="4">
        <f>Affectations!S43</f>
        <v>0</v>
      </c>
      <c r="U44" s="4">
        <f>Affectations!S43</f>
        <v>0</v>
      </c>
      <c r="V44" s="4">
        <f>Affectations!U43</f>
        <v>0</v>
      </c>
      <c r="W44" s="4">
        <f>Affectations!U43</f>
        <v>0</v>
      </c>
      <c r="X44" s="4">
        <f>Affectations!W43</f>
        <v>0</v>
      </c>
      <c r="Y44" s="4">
        <f>Affectations!W43</f>
        <v>0</v>
      </c>
      <c r="Z44" s="4">
        <f>Affectations!Y43</f>
        <v>0</v>
      </c>
      <c r="AA44" s="4">
        <f>Affectations!Y43</f>
        <v>0</v>
      </c>
      <c r="AB44" s="4">
        <f>Affectations!AA43</f>
        <v>0</v>
      </c>
      <c r="AC44" s="4">
        <f>Affectations!AA43</f>
        <v>0</v>
      </c>
      <c r="AD44" s="4">
        <f>Affectations!AC43</f>
        <v>0</v>
      </c>
      <c r="AE44" s="4">
        <f>Affectations!AC43</f>
        <v>0</v>
      </c>
      <c r="AF44" s="4">
        <f>Affectations!AE43</f>
        <v>0</v>
      </c>
      <c r="AG44" s="4">
        <f>Affectations!AE43</f>
        <v>0</v>
      </c>
      <c r="AH44" s="4">
        <f>Affectations!AG43</f>
        <v>0</v>
      </c>
      <c r="AI44" s="4">
        <f>Affectations!AG43</f>
        <v>0</v>
      </c>
      <c r="AJ44" s="4">
        <f>Affectations!AI43</f>
        <v>0</v>
      </c>
      <c r="AK44" s="4">
        <f>Affectations!AI43</f>
        <v>0</v>
      </c>
      <c r="AL44" s="4" t="e">
        <f>Affectations!#REF!</f>
        <v>#REF!</v>
      </c>
      <c r="AM44" s="4" t="e">
        <f>Affectations!#REF!</f>
        <v>#REF!</v>
      </c>
      <c r="AN44" s="4" t="e">
        <f>Affectations!#REF!</f>
        <v>#REF!</v>
      </c>
      <c r="AO44" s="4" t="e">
        <f>Affectations!#REF!</f>
        <v>#REF!</v>
      </c>
    </row>
    <row r="45" spans="3:42" x14ac:dyDescent="0.25">
      <c r="C45" s="4" t="str">
        <f>'E4-2016'!E44</f>
        <v>IEFII</v>
      </c>
      <c r="D45" s="4" t="str">
        <f>'E4-2016'!B44</f>
        <v>IEFII</v>
      </c>
      <c r="E45" s="4" t="str">
        <f>'E4-2016'!D44</f>
        <v>0942169X</v>
      </c>
      <c r="F45" s="4">
        <f>Affectations!E44</f>
        <v>2</v>
      </c>
      <c r="G45" s="4">
        <f>Affectations!E44</f>
        <v>2</v>
      </c>
      <c r="H45" s="4">
        <f>Affectations!G44</f>
        <v>2</v>
      </c>
      <c r="I45" s="4">
        <f>Affectations!G44</f>
        <v>2</v>
      </c>
      <c r="J45" s="4">
        <f>Affectations!I44</f>
        <v>2</v>
      </c>
      <c r="K45" s="4">
        <f>Affectations!I44</f>
        <v>2</v>
      </c>
      <c r="L45" s="4">
        <f>Affectations!K44</f>
        <v>2</v>
      </c>
      <c r="M45" s="4">
        <f>Affectations!K44</f>
        <v>2</v>
      </c>
      <c r="N45" s="4">
        <f>Affectations!M44</f>
        <v>2</v>
      </c>
      <c r="O45" s="4">
        <f>Affectations!M44</f>
        <v>2</v>
      </c>
      <c r="P45" s="4">
        <f>Affectations!O44</f>
        <v>2</v>
      </c>
      <c r="Q45" s="4">
        <f>Affectations!O44</f>
        <v>2</v>
      </c>
      <c r="R45" s="4">
        <f>Affectations!Q44</f>
        <v>2</v>
      </c>
      <c r="S45" s="4">
        <f>Affectations!Q44</f>
        <v>2</v>
      </c>
      <c r="T45" s="4">
        <f>Affectations!S44</f>
        <v>2</v>
      </c>
      <c r="U45" s="4">
        <f>Affectations!S44</f>
        <v>2</v>
      </c>
      <c r="V45" s="4">
        <f>Affectations!U44</f>
        <v>2</v>
      </c>
      <c r="W45" s="4">
        <f>Affectations!U44</f>
        <v>2</v>
      </c>
      <c r="X45" s="4">
        <f>Affectations!W44</f>
        <v>2</v>
      </c>
      <c r="Y45" s="4">
        <f>Affectations!W44</f>
        <v>2</v>
      </c>
      <c r="Z45" s="4">
        <f>Affectations!Y44</f>
        <v>2</v>
      </c>
      <c r="AA45" s="4">
        <f>Affectations!Y44</f>
        <v>2</v>
      </c>
      <c r="AB45" s="4">
        <f>Affectations!AA44</f>
        <v>2</v>
      </c>
      <c r="AC45" s="4">
        <f>Affectations!AA44</f>
        <v>2</v>
      </c>
      <c r="AD45" s="4">
        <f>Affectations!AC44</f>
        <v>2</v>
      </c>
      <c r="AE45" s="4">
        <f>Affectations!AC44</f>
        <v>2</v>
      </c>
      <c r="AF45" s="4">
        <f>Affectations!AE44</f>
        <v>2</v>
      </c>
      <c r="AG45" s="4">
        <f>Affectations!AE44</f>
        <v>2</v>
      </c>
      <c r="AH45" s="4">
        <f>Affectations!AG44</f>
        <v>2</v>
      </c>
      <c r="AI45" s="4">
        <f>Affectations!AG44</f>
        <v>2</v>
      </c>
      <c r="AJ45" s="4">
        <f>Affectations!AI44</f>
        <v>1</v>
      </c>
      <c r="AK45" s="4">
        <f>Affectations!AI44</f>
        <v>1</v>
      </c>
      <c r="AL45" s="4" t="e">
        <f>Affectations!#REF!</f>
        <v>#REF!</v>
      </c>
      <c r="AM45" s="4" t="e">
        <f>Affectations!#REF!</f>
        <v>#REF!</v>
      </c>
      <c r="AN45" s="4" t="e">
        <f>Affectations!#REF!</f>
        <v>#REF!</v>
      </c>
      <c r="AO45" s="4" t="e">
        <f>Affectations!#REF!</f>
        <v>#REF!</v>
      </c>
    </row>
    <row r="46" spans="3:42" x14ac:dyDescent="0.25">
      <c r="C46" s="4" t="str">
        <f>'E4-2016'!E45</f>
        <v>IFCP</v>
      </c>
      <c r="D46" s="4" t="str">
        <f>'E4-2016'!B45</f>
        <v>IFCP</v>
      </c>
      <c r="E46" s="4" t="str">
        <f>'E4-2016'!D45</f>
        <v>0952242W</v>
      </c>
      <c r="F46" s="4">
        <f>Affectations!E45</f>
        <v>1</v>
      </c>
      <c r="G46" s="4">
        <f>Affectations!E45</f>
        <v>1</v>
      </c>
      <c r="H46" s="4">
        <f>Affectations!G45</f>
        <v>1</v>
      </c>
      <c r="I46" s="4">
        <f>Affectations!G45</f>
        <v>1</v>
      </c>
      <c r="J46" s="4">
        <f>Affectations!I45</f>
        <v>0</v>
      </c>
      <c r="K46" s="4">
        <f>Affectations!I45</f>
        <v>0</v>
      </c>
      <c r="L46" s="4">
        <f>Affectations!K45</f>
        <v>0</v>
      </c>
      <c r="M46" s="4">
        <f>Affectations!K45</f>
        <v>0</v>
      </c>
      <c r="N46" s="4">
        <f>Affectations!M45</f>
        <v>0</v>
      </c>
      <c r="O46" s="4">
        <f>Affectations!M45</f>
        <v>0</v>
      </c>
      <c r="P46" s="4">
        <f>Affectations!O45</f>
        <v>0</v>
      </c>
      <c r="Q46" s="4">
        <f>Affectations!O45</f>
        <v>0</v>
      </c>
      <c r="R46" s="4">
        <f>Affectations!Q45</f>
        <v>0</v>
      </c>
      <c r="S46" s="4">
        <f>Affectations!Q45</f>
        <v>0</v>
      </c>
      <c r="T46" s="4">
        <f>Affectations!S45</f>
        <v>0</v>
      </c>
      <c r="U46" s="4">
        <f>Affectations!S45</f>
        <v>0</v>
      </c>
      <c r="V46" s="4">
        <f>Affectations!U45</f>
        <v>0</v>
      </c>
      <c r="W46" s="4">
        <f>Affectations!U45</f>
        <v>0</v>
      </c>
      <c r="X46" s="4">
        <f>Affectations!W45</f>
        <v>0</v>
      </c>
      <c r="Y46" s="4">
        <f>Affectations!W45</f>
        <v>0</v>
      </c>
      <c r="Z46" s="4">
        <f>Affectations!Y45</f>
        <v>0</v>
      </c>
      <c r="AA46" s="4">
        <f>Affectations!Y45</f>
        <v>0</v>
      </c>
      <c r="AB46" s="4">
        <f>Affectations!AA45</f>
        <v>0</v>
      </c>
      <c r="AC46" s="4">
        <f>Affectations!AA45</f>
        <v>0</v>
      </c>
      <c r="AD46" s="4">
        <f>Affectations!AC45</f>
        <v>0</v>
      </c>
      <c r="AE46" s="4">
        <f>Affectations!AC45</f>
        <v>0</v>
      </c>
      <c r="AF46" s="4">
        <f>Affectations!AE45</f>
        <v>0</v>
      </c>
      <c r="AG46" s="4">
        <f>Affectations!AE45</f>
        <v>0</v>
      </c>
      <c r="AH46" s="4">
        <f>Affectations!AG45</f>
        <v>0</v>
      </c>
      <c r="AI46" s="4">
        <f>Affectations!AG45</f>
        <v>0</v>
      </c>
      <c r="AJ46" s="4">
        <f>Affectations!AI45</f>
        <v>0</v>
      </c>
      <c r="AK46" s="4">
        <f>Affectations!AI45</f>
        <v>0</v>
      </c>
      <c r="AL46" s="4" t="e">
        <f>Affectations!#REF!</f>
        <v>#REF!</v>
      </c>
      <c r="AM46" s="4" t="e">
        <f>Affectations!#REF!</f>
        <v>#REF!</v>
      </c>
      <c r="AN46" s="4" t="e">
        <f>Affectations!#REF!</f>
        <v>#REF!</v>
      </c>
      <c r="AO46" s="4" t="e">
        <f>Affectations!#REF!</f>
        <v>#REF!</v>
      </c>
      <c r="AP46" t="e">
        <f>SUM(F4:AO46)</f>
        <v>#REF!</v>
      </c>
    </row>
    <row r="47" spans="3:42" x14ac:dyDescent="0.25">
      <c r="AN47" s="4"/>
      <c r="AO47" s="4"/>
    </row>
    <row r="48" spans="3:42" x14ac:dyDescent="0.25">
      <c r="C48" s="4"/>
      <c r="D48" s="4"/>
      <c r="E48" s="4"/>
      <c r="F48" s="90" t="s">
        <v>187</v>
      </c>
      <c r="G48" s="91"/>
      <c r="H48" s="92" t="s">
        <v>124</v>
      </c>
      <c r="I48" s="91"/>
      <c r="J48" s="90" t="s">
        <v>46</v>
      </c>
      <c r="K48" s="91"/>
      <c r="L48" s="92" t="s">
        <v>47</v>
      </c>
      <c r="M48" s="91"/>
      <c r="N48" s="93" t="s">
        <v>188</v>
      </c>
      <c r="O48" s="94"/>
      <c r="P48" s="88" t="s">
        <v>189</v>
      </c>
      <c r="Q48" s="89"/>
      <c r="R48" s="88" t="s">
        <v>218</v>
      </c>
      <c r="S48" s="89"/>
      <c r="T48" s="88" t="s">
        <v>50</v>
      </c>
      <c r="U48" s="89"/>
      <c r="V48" s="88" t="s">
        <v>51</v>
      </c>
      <c r="W48" s="89"/>
      <c r="X48" s="93" t="s">
        <v>137</v>
      </c>
      <c r="Y48" s="94"/>
      <c r="Z48" s="88" t="s">
        <v>132</v>
      </c>
      <c r="AA48" s="89"/>
      <c r="AB48" s="88" t="s">
        <v>125</v>
      </c>
      <c r="AC48" s="89"/>
      <c r="AD48" s="88" t="s">
        <v>54</v>
      </c>
      <c r="AE48" s="89"/>
      <c r="AF48" s="88" t="s">
        <v>55</v>
      </c>
      <c r="AG48" s="89"/>
      <c r="AH48" s="93" t="s">
        <v>138</v>
      </c>
      <c r="AI48" s="94"/>
      <c r="AJ48" s="88" t="s">
        <v>133</v>
      </c>
      <c r="AK48" s="89"/>
      <c r="AL48" s="92"/>
      <c r="AM48" s="91"/>
      <c r="AN48" s="92"/>
      <c r="AO48" s="91"/>
    </row>
    <row r="49" spans="3:41" x14ac:dyDescent="0.25">
      <c r="C49" s="4"/>
      <c r="D49" s="4"/>
      <c r="E49" s="4"/>
      <c r="F49" s="5" t="s">
        <v>112</v>
      </c>
      <c r="G49" s="5" t="s">
        <v>113</v>
      </c>
      <c r="H49" s="5" t="s">
        <v>112</v>
      </c>
      <c r="I49" s="5" t="s">
        <v>113</v>
      </c>
      <c r="J49" s="5" t="s">
        <v>112</v>
      </c>
      <c r="K49" s="5" t="s">
        <v>113</v>
      </c>
      <c r="L49" s="5" t="s">
        <v>112</v>
      </c>
      <c r="M49" s="5" t="s">
        <v>113</v>
      </c>
      <c r="N49" s="5" t="s">
        <v>112</v>
      </c>
      <c r="O49" s="5" t="s">
        <v>113</v>
      </c>
      <c r="P49" s="5" t="s">
        <v>112</v>
      </c>
      <c r="Q49" s="5" t="s">
        <v>113</v>
      </c>
      <c r="R49" s="5" t="s">
        <v>112</v>
      </c>
      <c r="S49" s="5" t="s">
        <v>113</v>
      </c>
      <c r="T49" s="5" t="s">
        <v>112</v>
      </c>
      <c r="U49" s="5" t="s">
        <v>113</v>
      </c>
      <c r="V49" s="5" t="s">
        <v>112</v>
      </c>
      <c r="W49" s="5" t="s">
        <v>113</v>
      </c>
      <c r="X49" s="5" t="s">
        <v>112</v>
      </c>
      <c r="Y49" s="5" t="s">
        <v>113</v>
      </c>
      <c r="Z49" s="5" t="s">
        <v>112</v>
      </c>
      <c r="AA49" s="5" t="s">
        <v>113</v>
      </c>
      <c r="AB49" s="5" t="s">
        <v>112</v>
      </c>
      <c r="AC49" s="5" t="s">
        <v>113</v>
      </c>
      <c r="AD49" s="5" t="s">
        <v>112</v>
      </c>
      <c r="AE49" s="5" t="s">
        <v>113</v>
      </c>
      <c r="AF49" s="5" t="s">
        <v>112</v>
      </c>
      <c r="AG49" s="5" t="s">
        <v>113</v>
      </c>
      <c r="AH49" s="5" t="s">
        <v>112</v>
      </c>
      <c r="AI49" s="5" t="s">
        <v>113</v>
      </c>
      <c r="AJ49" s="5" t="s">
        <v>112</v>
      </c>
      <c r="AK49" s="5" t="s">
        <v>113</v>
      </c>
      <c r="AL49" s="5" t="s">
        <v>112</v>
      </c>
      <c r="AM49" s="5" t="s">
        <v>113</v>
      </c>
      <c r="AN49" s="5" t="s">
        <v>112</v>
      </c>
      <c r="AO49" s="5" t="s">
        <v>113</v>
      </c>
    </row>
    <row r="50" spans="3:41" x14ac:dyDescent="0.25">
      <c r="C50" s="4" t="str">
        <f>'E4-2016'!E3</f>
        <v>SEFE</v>
      </c>
      <c r="D50" s="4" t="str">
        <f>'E4-2016'!B3</f>
        <v>Lycee BETH SEFER</v>
      </c>
      <c r="E50" s="4" t="str">
        <f>'E4-2016'!D3</f>
        <v>0753372H</v>
      </c>
      <c r="F50" s="4">
        <f>COUNTIF(SISR!F$3:F$80,"="&amp;'verif-jurys'!$C50)-F4</f>
        <v>0</v>
      </c>
      <c r="G50" s="4">
        <f>COUNTIF(SLAM!F$3:F$80,"="&amp;'verif-jurys'!$C50)-G4</f>
        <v>0</v>
      </c>
      <c r="H50" s="4">
        <f>COUNTIF(SISR!H$3:H$80,"="&amp;'verif-jurys'!$C50)-H4</f>
        <v>0</v>
      </c>
      <c r="I50" s="4">
        <f>COUNTIF(SLAM!H$3:H$80,"="&amp;'verif-jurys'!$C50)-I4</f>
        <v>0</v>
      </c>
      <c r="J50" s="4">
        <f>COUNTIF(SISR!J$3:J$80,"="&amp;'verif-jurys'!$C50)-J4</f>
        <v>0</v>
      </c>
      <c r="K50" s="4">
        <f>COUNTIF(SLAM!J$3:J$80,"="&amp;'verif-jurys'!$C50)-K4</f>
        <v>0</v>
      </c>
      <c r="L50" s="4">
        <f>COUNTIF(SISR!L$3:L$80,"="&amp;'verif-jurys'!$C50)-L4</f>
        <v>0</v>
      </c>
      <c r="M50" s="4">
        <f>COUNTIF(SLAM!L$3:L$80,"="&amp;'verif-jurys'!$C50)-M4</f>
        <v>0</v>
      </c>
      <c r="N50" s="4">
        <f>COUNTIF(SISR!N$3:N$80,"="&amp;'verif-jurys'!$C50)-N4</f>
        <v>0</v>
      </c>
      <c r="O50" s="4">
        <f>COUNTIF(SLAM!N$3:N$80,"="&amp;'verif-jurys'!$C50)-O4</f>
        <v>0</v>
      </c>
      <c r="P50" s="4">
        <f>COUNTIF(SISR!P$3:P$80,"="&amp;'verif-jurys'!$C50)-P4</f>
        <v>0</v>
      </c>
      <c r="Q50" s="4">
        <f>COUNTIF(SLAM!P$3:P$80,"="&amp;'verif-jurys'!$C50)-Q4</f>
        <v>0</v>
      </c>
      <c r="R50" s="4">
        <f>COUNTIF(SISR!R$3:R$80,"="&amp;'verif-jurys'!$C50)-R4</f>
        <v>0</v>
      </c>
      <c r="S50" s="4">
        <f>COUNTIF(SLAM!R$3:R$80,"="&amp;'verif-jurys'!$C50)-S4</f>
        <v>0</v>
      </c>
      <c r="T50" s="4">
        <f>COUNTIF(SISR!T$3:T$80,"="&amp;'verif-jurys'!$C50)-T4</f>
        <v>0</v>
      </c>
      <c r="U50" s="4">
        <f>COUNTIF(SLAM!T$3:T$80,"="&amp;'verif-jurys'!$C50)-U4</f>
        <v>0</v>
      </c>
      <c r="V50" s="4">
        <f>COUNTIF(SISR!V$3:V$80,"="&amp;'verif-jurys'!$C50)-V4</f>
        <v>0</v>
      </c>
      <c r="W50" s="4">
        <f>COUNTIF(SLAM!V$3:V$80,"="&amp;'verif-jurys'!$C50)-W4</f>
        <v>0</v>
      </c>
      <c r="X50" s="4">
        <f>COUNTIF(SISR!X$3:X$80,"="&amp;'verif-jurys'!$C50)-X4</f>
        <v>0</v>
      </c>
      <c r="Y50" s="4">
        <f>COUNTIF(SLAM!X$3:X$80,"="&amp;'verif-jurys'!$C50)-Y4</f>
        <v>0</v>
      </c>
      <c r="Z50" s="4">
        <f>COUNTIF(SISR!Z$3:Z$80,"="&amp;'verif-jurys'!$C50)-Z4</f>
        <v>0</v>
      </c>
      <c r="AA50" s="4">
        <f>COUNTIF(SLAM!Z$3:Z$80,"="&amp;'verif-jurys'!$C50)-AA4</f>
        <v>0</v>
      </c>
      <c r="AB50" s="4">
        <f>COUNTIF(SISR!AB$3:AB$80,"="&amp;'verif-jurys'!$C50)-AB4</f>
        <v>0</v>
      </c>
      <c r="AC50" s="4">
        <f>COUNTIF(SLAM!AB$3:AB$80,"="&amp;'verif-jurys'!$C50)-AC4</f>
        <v>0</v>
      </c>
      <c r="AD50" s="4">
        <f>COUNTIF(SISR!AD$3:AD$80,"="&amp;'verif-jurys'!$C50)-AD4</f>
        <v>0</v>
      </c>
      <c r="AE50" s="4">
        <f>COUNTIF(SLAM!AD$3:AD$80,"="&amp;'verif-jurys'!$C50)-AE4</f>
        <v>0</v>
      </c>
      <c r="AF50" s="4">
        <f>COUNTIF(SISR!AF$3:AF$80,"="&amp;'verif-jurys'!$C50)-AF4</f>
        <v>0</v>
      </c>
      <c r="AG50" s="4">
        <f>COUNTIF(SLAM!AF$3:AF$80,"="&amp;'verif-jurys'!$C50)-AG4</f>
        <v>0</v>
      </c>
      <c r="AH50" s="4">
        <f>COUNTIF(SISR!AH$3:AH$80,"="&amp;'verif-jurys'!$C50)-AH4</f>
        <v>0</v>
      </c>
      <c r="AI50" s="4">
        <f>COUNTIF(SLAM!AH$3:AH$80,"="&amp;'verif-jurys'!$C50)-AI4</f>
        <v>0</v>
      </c>
      <c r="AJ50" s="4">
        <f>COUNTIF(SISR!AJ$3:AJ$80,"="&amp;'verif-jurys'!$C50)-AJ4</f>
        <v>0</v>
      </c>
      <c r="AK50" s="4">
        <f>COUNTIF(SLAM!AJ$3:AJ$80,"="&amp;'verif-jurys'!$C50)-AK4</f>
        <v>0</v>
      </c>
      <c r="AL50" s="4" t="e">
        <f>COUNTIF(SISR!AL$3:AL$80,"="&amp;'verif-jurys'!$C50)-AL4</f>
        <v>#REF!</v>
      </c>
      <c r="AM50" s="4" t="e">
        <f>COUNTIF(SLAM!AL$3:AL$80,"="&amp;'verif-jurys'!$C50)-AM4</f>
        <v>#REF!</v>
      </c>
      <c r="AN50" s="4" t="e">
        <f>COUNTIF(SISR!AN$3:AN$80,"="&amp;'verif-jurys'!$C50)-AN4</f>
        <v>#REF!</v>
      </c>
      <c r="AO50" s="4" t="e">
        <f>COUNTIF(SLAM!AN$3:AN$80,"="&amp;'verif-jurys'!$C50)-AO4</f>
        <v>#REF!</v>
      </c>
    </row>
    <row r="51" spans="3:41" x14ac:dyDescent="0.25">
      <c r="C51" s="4" t="str">
        <f>'E4-2016'!E4</f>
        <v>LFS</v>
      </c>
      <c r="D51" s="4" t="str">
        <f>'E4-2016'!B4</f>
        <v>Lycée Fénelon Sup La Pleine Monceau</v>
      </c>
      <c r="E51" s="4" t="str">
        <f>'E4-2016'!D4</f>
        <v>0754037F</v>
      </c>
      <c r="F51" s="4">
        <f>COUNTIF(SISR!F$3:F$80,"="&amp;'verif-jurys'!$C51)-F5</f>
        <v>0</v>
      </c>
      <c r="G51" s="4">
        <f>COUNTIF(SLAM!F$3:F$80,"="&amp;'verif-jurys'!$C51)-G5</f>
        <v>0</v>
      </c>
      <c r="H51" s="4">
        <f>COUNTIF(SISR!H$3:H$80,"="&amp;'verif-jurys'!$C51)-H5</f>
        <v>0</v>
      </c>
      <c r="I51" s="4">
        <f>COUNTIF(SLAM!H$3:H$80,"="&amp;'verif-jurys'!$C51)-I5</f>
        <v>0</v>
      </c>
      <c r="J51" s="4">
        <f>COUNTIF(SISR!J$3:J$80,"="&amp;'verif-jurys'!$C51)-J5</f>
        <v>0</v>
      </c>
      <c r="K51" s="4">
        <f>COUNTIF(SLAM!J$3:J$80,"="&amp;'verif-jurys'!$C51)-K5</f>
        <v>0</v>
      </c>
      <c r="L51" s="4">
        <f>COUNTIF(SISR!L$3:L$80,"="&amp;'verif-jurys'!$C51)-L5</f>
        <v>0</v>
      </c>
      <c r="M51" s="4">
        <f>COUNTIF(SLAM!L$3:L$80,"="&amp;'verif-jurys'!$C51)-M5</f>
        <v>0</v>
      </c>
      <c r="N51" s="4">
        <f>COUNTIF(SISR!N$3:N$80,"="&amp;'verif-jurys'!$C51)-N5</f>
        <v>0</v>
      </c>
      <c r="O51" s="4">
        <f>COUNTIF(SLAM!N$3:N$80,"="&amp;'verif-jurys'!$C51)-O5</f>
        <v>0</v>
      </c>
      <c r="P51" s="4">
        <f>COUNTIF(SISR!P$3:P$80,"="&amp;'verif-jurys'!$C51)-P5</f>
        <v>0</v>
      </c>
      <c r="Q51" s="4">
        <f>COUNTIF(SLAM!P$3:P$80,"="&amp;'verif-jurys'!$C51)-Q5</f>
        <v>0</v>
      </c>
      <c r="R51" s="4">
        <f>COUNTIF(SISR!R$3:R$80,"="&amp;'verif-jurys'!$C51)-R5</f>
        <v>0</v>
      </c>
      <c r="S51" s="4">
        <f>COUNTIF(SLAM!R$3:R$80,"="&amp;'verif-jurys'!$C51)-S5</f>
        <v>0</v>
      </c>
      <c r="T51" s="4">
        <f>COUNTIF(SISR!T$3:T$80,"="&amp;'verif-jurys'!$C51)-T5</f>
        <v>0</v>
      </c>
      <c r="U51" s="4">
        <f>COUNTIF(SLAM!T$3:T$80,"="&amp;'verif-jurys'!$C51)-U5</f>
        <v>0</v>
      </c>
      <c r="V51" s="4">
        <f>COUNTIF(SISR!V$3:V$80,"="&amp;'verif-jurys'!$C51)-V5</f>
        <v>0</v>
      </c>
      <c r="W51" s="4">
        <f>COUNTIF(SLAM!V$3:V$80,"="&amp;'verif-jurys'!$C51)-W5</f>
        <v>0</v>
      </c>
      <c r="X51" s="4">
        <f>COUNTIF(SISR!X$3:X$80,"="&amp;'verif-jurys'!$C51)-X5</f>
        <v>0</v>
      </c>
      <c r="Y51" s="4">
        <f>COUNTIF(SLAM!X$3:X$80,"="&amp;'verif-jurys'!$C51)-Y5</f>
        <v>0</v>
      </c>
      <c r="Z51" s="4">
        <f>COUNTIF(SISR!Z$3:Z$80,"="&amp;'verif-jurys'!$C51)-Z5</f>
        <v>0</v>
      </c>
      <c r="AA51" s="4">
        <f>COUNTIF(SLAM!Z$3:Z$80,"="&amp;'verif-jurys'!$C51)-AA5</f>
        <v>0</v>
      </c>
      <c r="AB51" s="4">
        <f>COUNTIF(SISR!AB$3:AB$80,"="&amp;'verif-jurys'!$C51)-AB5</f>
        <v>0</v>
      </c>
      <c r="AC51" s="4">
        <f>COUNTIF(SLAM!AB$3:AB$80,"="&amp;'verif-jurys'!$C51)-AC5</f>
        <v>0</v>
      </c>
      <c r="AD51" s="4">
        <f>COUNTIF(SISR!AD$3:AD$80,"="&amp;'verif-jurys'!$C51)-AD5</f>
        <v>0</v>
      </c>
      <c r="AE51" s="4">
        <f>COUNTIF(SLAM!AD$3:AD$80,"="&amp;'verif-jurys'!$C51)-AE5</f>
        <v>0</v>
      </c>
      <c r="AF51" s="4">
        <f>COUNTIF(SISR!AF$3:AF$80,"="&amp;'verif-jurys'!$C51)-AF5</f>
        <v>0</v>
      </c>
      <c r="AG51" s="4">
        <f>COUNTIF(SLAM!AF$3:AF$80,"="&amp;'verif-jurys'!$C51)-AG5</f>
        <v>0</v>
      </c>
      <c r="AH51" s="4">
        <f>COUNTIF(SISR!AH$3:AH$80,"="&amp;'verif-jurys'!$C51)-AH5</f>
        <v>0</v>
      </c>
      <c r="AI51" s="4">
        <f>COUNTIF(SLAM!AH$3:AH$80,"="&amp;'verif-jurys'!$C51)-AI5</f>
        <v>0</v>
      </c>
      <c r="AJ51" s="4">
        <f>COUNTIF(SISR!AJ$3:AJ$80,"="&amp;'verif-jurys'!$C51)-AJ5</f>
        <v>0</v>
      </c>
      <c r="AK51" s="4">
        <f>COUNTIF(SLAM!AJ$3:AJ$80,"="&amp;'verif-jurys'!$C51)-AK5</f>
        <v>0</v>
      </c>
      <c r="AL51" s="4" t="e">
        <f>COUNTIF(SISR!AL$3:AL$80,"="&amp;'verif-jurys'!$C51)-AL5</f>
        <v>#REF!</v>
      </c>
      <c r="AM51" s="4" t="e">
        <f>COUNTIF(SLAM!AL$3:AL$80,"="&amp;'verif-jurys'!$C51)-AM5</f>
        <v>#REF!</v>
      </c>
      <c r="AN51" s="4" t="e">
        <f>COUNTIF(SISR!AN$3:AN$80,"="&amp;'verif-jurys'!$C51)-AN5</f>
        <v>#REF!</v>
      </c>
      <c r="AO51" s="4" t="e">
        <f>COUNTIF(SLAM!AN$3:AN$80,"="&amp;'verif-jurys'!$C51)-AO5</f>
        <v>#REF!</v>
      </c>
    </row>
    <row r="52" spans="3:41" x14ac:dyDescent="0.25">
      <c r="C52" s="4" t="str">
        <f>'E4-2016'!E5</f>
        <v>SORN</v>
      </c>
      <c r="D52" s="4" t="str">
        <f>'E4-2016'!B5</f>
        <v>Ecole SORNAS</v>
      </c>
      <c r="E52" s="4" t="str">
        <f>'E4-2016'!D5</f>
        <v>0754101A</v>
      </c>
      <c r="F52" s="4">
        <f>COUNTIF(SISR!F$3:F$80,"="&amp;'verif-jurys'!$C52)-F6</f>
        <v>0</v>
      </c>
      <c r="G52" s="4">
        <f>COUNTIF(SLAM!F$3:F$80,"="&amp;'verif-jurys'!$C52)-G6</f>
        <v>0</v>
      </c>
      <c r="H52" s="4">
        <f>COUNTIF(SISR!H$3:H$80,"="&amp;'verif-jurys'!$C52)-H6</f>
        <v>0</v>
      </c>
      <c r="I52" s="4">
        <f>COUNTIF(SLAM!H$3:H$80,"="&amp;'verif-jurys'!$C52)-I6</f>
        <v>0</v>
      </c>
      <c r="J52" s="4">
        <f>COUNTIF(SISR!J$3:J$80,"="&amp;'verif-jurys'!$C52)-J6</f>
        <v>0</v>
      </c>
      <c r="K52" s="4">
        <f>COUNTIF(SLAM!J$3:J$80,"="&amp;'verif-jurys'!$C52)-K6</f>
        <v>0</v>
      </c>
      <c r="L52" s="4">
        <f>COUNTIF(SISR!L$3:L$80,"="&amp;'verif-jurys'!$C52)-L6</f>
        <v>0</v>
      </c>
      <c r="M52" s="4">
        <f>COUNTIF(SLAM!L$3:L$80,"="&amp;'verif-jurys'!$C52)-M6</f>
        <v>0</v>
      </c>
      <c r="N52" s="4">
        <f>COUNTIF(SISR!N$3:N$80,"="&amp;'verif-jurys'!$C52)-N6</f>
        <v>0</v>
      </c>
      <c r="O52" s="4">
        <f>COUNTIF(SLAM!N$3:N$80,"="&amp;'verif-jurys'!$C52)-O6</f>
        <v>0</v>
      </c>
      <c r="P52" s="4">
        <f>COUNTIF(SISR!P$3:P$80,"="&amp;'verif-jurys'!$C52)-P6</f>
        <v>0</v>
      </c>
      <c r="Q52" s="4">
        <f>COUNTIF(SLAM!P$3:P$80,"="&amp;'verif-jurys'!$C52)-Q6</f>
        <v>0</v>
      </c>
      <c r="R52" s="4">
        <f>COUNTIF(SISR!R$3:R$80,"="&amp;'verif-jurys'!$C52)-R6</f>
        <v>0</v>
      </c>
      <c r="S52" s="4">
        <f>COUNTIF(SLAM!R$3:R$80,"="&amp;'verif-jurys'!$C52)-S6</f>
        <v>0</v>
      </c>
      <c r="T52" s="4">
        <f>COUNTIF(SISR!T$3:T$80,"="&amp;'verif-jurys'!$C52)-T6</f>
        <v>0</v>
      </c>
      <c r="U52" s="4">
        <f>COUNTIF(SLAM!T$3:T$80,"="&amp;'verif-jurys'!$C52)-U6</f>
        <v>0</v>
      </c>
      <c r="V52" s="4">
        <f>COUNTIF(SISR!V$3:V$80,"="&amp;'verif-jurys'!$C52)-V6</f>
        <v>0</v>
      </c>
      <c r="W52" s="4">
        <f>COUNTIF(SLAM!V$3:V$80,"="&amp;'verif-jurys'!$C52)-W6</f>
        <v>0</v>
      </c>
      <c r="X52" s="4">
        <f>COUNTIF(SISR!X$3:X$80,"="&amp;'verif-jurys'!$C52)-X6</f>
        <v>0</v>
      </c>
      <c r="Y52" s="4">
        <f>COUNTIF(SLAM!X$3:X$80,"="&amp;'verif-jurys'!$C52)-Y6</f>
        <v>0</v>
      </c>
      <c r="Z52" s="4">
        <f>COUNTIF(SISR!Z$3:Z$80,"="&amp;'verif-jurys'!$C52)-Z6</f>
        <v>0</v>
      </c>
      <c r="AA52" s="4">
        <f>COUNTIF(SLAM!Z$3:Z$80,"="&amp;'verif-jurys'!$C52)-AA6</f>
        <v>0</v>
      </c>
      <c r="AB52" s="4">
        <f>COUNTIF(SISR!AB$3:AB$80,"="&amp;'verif-jurys'!$C52)-AB6</f>
        <v>0</v>
      </c>
      <c r="AC52" s="4">
        <f>COUNTIF(SLAM!AB$3:AB$80,"="&amp;'verif-jurys'!$C52)-AC6</f>
        <v>0</v>
      </c>
      <c r="AD52" s="4">
        <f>COUNTIF(SISR!AD$3:AD$80,"="&amp;'verif-jurys'!$C52)-AD6</f>
        <v>0</v>
      </c>
      <c r="AE52" s="4">
        <f>COUNTIF(SLAM!AD$3:AD$80,"="&amp;'verif-jurys'!$C52)-AE6</f>
        <v>0</v>
      </c>
      <c r="AF52" s="4">
        <f>COUNTIF(SISR!AF$3:AF$80,"="&amp;'verif-jurys'!$C52)-AF6</f>
        <v>0</v>
      </c>
      <c r="AG52" s="4">
        <f>COUNTIF(SLAM!AF$3:AF$80,"="&amp;'verif-jurys'!$C52)-AG6</f>
        <v>0</v>
      </c>
      <c r="AH52" s="4">
        <f>COUNTIF(SISR!AH$3:AH$80,"="&amp;'verif-jurys'!$C52)-AH6</f>
        <v>0</v>
      </c>
      <c r="AI52" s="4">
        <f>COUNTIF(SLAM!AH$3:AH$80,"="&amp;'verif-jurys'!$C52)-AI6</f>
        <v>0</v>
      </c>
      <c r="AJ52" s="4">
        <f>COUNTIF(SISR!AJ$3:AJ$80,"="&amp;'verif-jurys'!$C52)-AJ6</f>
        <v>0</v>
      </c>
      <c r="AK52" s="4">
        <f>COUNTIF(SLAM!AJ$3:AJ$80,"="&amp;'verif-jurys'!$C52)-AK6</f>
        <v>0</v>
      </c>
      <c r="AL52" s="4" t="e">
        <f>COUNTIF(SISR!AL$3:AL$80,"="&amp;'verif-jurys'!$C52)-AL6</f>
        <v>#REF!</v>
      </c>
      <c r="AM52" s="4" t="e">
        <f>COUNTIF(SLAM!AL$3:AL$80,"="&amp;'verif-jurys'!$C52)-AM6</f>
        <v>#REF!</v>
      </c>
      <c r="AN52" s="4" t="e">
        <f>COUNTIF(SISR!AN$3:AN$80,"="&amp;'verif-jurys'!$C52)-AN6</f>
        <v>#REF!</v>
      </c>
      <c r="AO52" s="4" t="e">
        <f>COUNTIF(SLAM!AN$3:AN$80,"="&amp;'verif-jurys'!$C52)-AO6</f>
        <v>#REF!</v>
      </c>
    </row>
    <row r="53" spans="3:41" x14ac:dyDescent="0.25">
      <c r="C53" s="4" t="str">
        <f>'E4-2016'!E6</f>
        <v>ITIC</v>
      </c>
      <c r="D53" s="4" t="str">
        <f>'E4-2016'!B6</f>
        <v>ITIC</v>
      </c>
      <c r="E53" s="4" t="str">
        <f>'E4-2016'!D6</f>
        <v>0754440U</v>
      </c>
      <c r="F53" s="4">
        <f>COUNTIF(SISR!F$3:F$80,"="&amp;'verif-jurys'!$C53)-F7</f>
        <v>0</v>
      </c>
      <c r="G53" s="4">
        <f>COUNTIF(SLAM!F$3:F$80,"="&amp;'verif-jurys'!$C53)-G7</f>
        <v>0</v>
      </c>
      <c r="H53" s="4">
        <f>COUNTIF(SISR!H$3:H$80,"="&amp;'verif-jurys'!$C53)-H7</f>
        <v>0</v>
      </c>
      <c r="I53" s="4">
        <f>COUNTIF(SLAM!H$3:H$80,"="&amp;'verif-jurys'!$C53)-I7</f>
        <v>0</v>
      </c>
      <c r="J53" s="4">
        <f>COUNTIF(SISR!J$3:J$80,"="&amp;'verif-jurys'!$C53)-J7</f>
        <v>0</v>
      </c>
      <c r="K53" s="4">
        <f>COUNTIF(SLAM!J$3:J$80,"="&amp;'verif-jurys'!$C53)-K7</f>
        <v>0</v>
      </c>
      <c r="L53" s="4">
        <f>COUNTIF(SISR!L$3:L$80,"="&amp;'verif-jurys'!$C53)-L7</f>
        <v>0</v>
      </c>
      <c r="M53" s="4">
        <f>COUNTIF(SLAM!L$3:L$80,"="&amp;'verif-jurys'!$C53)-M7</f>
        <v>0</v>
      </c>
      <c r="N53" s="4">
        <f>COUNTIF(SISR!N$3:N$80,"="&amp;'verif-jurys'!$C53)-N7</f>
        <v>0</v>
      </c>
      <c r="O53" s="4">
        <f>COUNTIF(SLAM!N$3:N$80,"="&amp;'verif-jurys'!$C53)-O7</f>
        <v>0</v>
      </c>
      <c r="P53" s="4">
        <f>COUNTIF(SISR!P$3:P$80,"="&amp;'verif-jurys'!$C53)-P7</f>
        <v>0</v>
      </c>
      <c r="Q53" s="4">
        <f>COUNTIF(SLAM!P$3:P$80,"="&amp;'verif-jurys'!$C53)-Q7</f>
        <v>0</v>
      </c>
      <c r="R53" s="4">
        <f>COUNTIF(SISR!R$3:R$80,"="&amp;'verif-jurys'!$C53)-R7</f>
        <v>0</v>
      </c>
      <c r="S53" s="4">
        <f>COUNTIF(SLAM!R$3:R$80,"="&amp;'verif-jurys'!$C53)-S7</f>
        <v>0</v>
      </c>
      <c r="T53" s="4">
        <f>COUNTIF(SISR!T$3:T$80,"="&amp;'verif-jurys'!$C53)-T7</f>
        <v>0</v>
      </c>
      <c r="U53" s="4">
        <f>COUNTIF(SLAM!T$3:T$80,"="&amp;'verif-jurys'!$C53)-U7</f>
        <v>0</v>
      </c>
      <c r="V53" s="4">
        <f>COUNTIF(SISR!V$3:V$80,"="&amp;'verif-jurys'!$C53)-V7</f>
        <v>0</v>
      </c>
      <c r="W53" s="4">
        <f>COUNTIF(SLAM!V$3:V$80,"="&amp;'verif-jurys'!$C53)-W7</f>
        <v>0</v>
      </c>
      <c r="X53" s="4">
        <f>COUNTIF(SISR!X$3:X$80,"="&amp;'verif-jurys'!$C53)-X7</f>
        <v>0</v>
      </c>
      <c r="Y53" s="4">
        <f>COUNTIF(SLAM!X$3:X$80,"="&amp;'verif-jurys'!$C53)-Y7</f>
        <v>0</v>
      </c>
      <c r="Z53" s="4">
        <f>COUNTIF(SISR!Z$3:Z$80,"="&amp;'verif-jurys'!$C53)-Z7</f>
        <v>0</v>
      </c>
      <c r="AA53" s="4">
        <f>COUNTIF(SLAM!Z$3:Z$80,"="&amp;'verif-jurys'!$C53)-AA7</f>
        <v>0</v>
      </c>
      <c r="AB53" s="4">
        <f>COUNTIF(SISR!AB$3:AB$80,"="&amp;'verif-jurys'!$C53)-AB7</f>
        <v>0</v>
      </c>
      <c r="AC53" s="4">
        <f>COUNTIF(SLAM!AB$3:AB$80,"="&amp;'verif-jurys'!$C53)-AC7</f>
        <v>0</v>
      </c>
      <c r="AD53" s="4">
        <f>COUNTIF(SISR!AD$3:AD$80,"="&amp;'verif-jurys'!$C53)-AD7</f>
        <v>0</v>
      </c>
      <c r="AE53" s="4">
        <f>COUNTIF(SLAM!AD$3:AD$80,"="&amp;'verif-jurys'!$C53)-AE7</f>
        <v>0</v>
      </c>
      <c r="AF53" s="4">
        <f>COUNTIF(SISR!AF$3:AF$80,"="&amp;'verif-jurys'!$C53)-AF7</f>
        <v>0</v>
      </c>
      <c r="AG53" s="4">
        <f>COUNTIF(SLAM!AF$3:AF$80,"="&amp;'verif-jurys'!$C53)-AG7</f>
        <v>0</v>
      </c>
      <c r="AH53" s="4">
        <f>COUNTIF(SISR!AH$3:AH$80,"="&amp;'verif-jurys'!$C53)-AH7</f>
        <v>0</v>
      </c>
      <c r="AI53" s="4">
        <f>COUNTIF(SLAM!AH$3:AH$80,"="&amp;'verif-jurys'!$C53)-AI7</f>
        <v>0</v>
      </c>
      <c r="AJ53" s="4">
        <f>COUNTIF(SISR!AJ$3:AJ$80,"="&amp;'verif-jurys'!$C53)-AJ7</f>
        <v>0</v>
      </c>
      <c r="AK53" s="4">
        <f>COUNTIF(SLAM!AJ$3:AJ$80,"="&amp;'verif-jurys'!$C53)-AK7</f>
        <v>0</v>
      </c>
      <c r="AL53" s="4" t="e">
        <f>COUNTIF(SISR!AL$3:AL$80,"="&amp;'verif-jurys'!$C53)-AL7</f>
        <v>#REF!</v>
      </c>
      <c r="AM53" s="4" t="e">
        <f>COUNTIF(SLAM!AL$3:AL$80,"="&amp;'verif-jurys'!$C53)-AM7</f>
        <v>#REF!</v>
      </c>
      <c r="AN53" s="4" t="e">
        <f>COUNTIF(SISR!AN$3:AN$80,"="&amp;'verif-jurys'!$C53)-AN7</f>
        <v>#REF!</v>
      </c>
      <c r="AO53" s="4" t="e">
        <f>COUNTIF(SLAM!AN$3:AN$80,"="&amp;'verif-jurys'!$C53)-AO7</f>
        <v>#REF!</v>
      </c>
    </row>
    <row r="54" spans="3:41" x14ac:dyDescent="0.25">
      <c r="C54" s="4" t="str">
        <f>'E4-2016'!E7</f>
        <v>CERF</v>
      </c>
      <c r="D54" s="4" t="str">
        <f>'E4-2016'!B7</f>
        <v>CFA CERFAL</v>
      </c>
      <c r="E54" s="4" t="str">
        <f>'E4-2016'!D7</f>
        <v>0754458N</v>
      </c>
      <c r="F54" s="4">
        <f>COUNTIF(SISR!F$3:F$80,"="&amp;'verif-jurys'!$C54)-F8</f>
        <v>0</v>
      </c>
      <c r="G54" s="4">
        <f>COUNTIF(SLAM!F$3:F$80,"="&amp;'verif-jurys'!$C54)-G8</f>
        <v>0</v>
      </c>
      <c r="H54" s="4">
        <f>COUNTIF(SISR!H$3:H$80,"="&amp;'verif-jurys'!$C54)-H8</f>
        <v>0</v>
      </c>
      <c r="I54" s="4">
        <f>COUNTIF(SLAM!H$3:H$80,"="&amp;'verif-jurys'!$C54)-I8</f>
        <v>0</v>
      </c>
      <c r="J54" s="4">
        <f>COUNTIF(SISR!J$3:J$80,"="&amp;'verif-jurys'!$C54)-J8</f>
        <v>0</v>
      </c>
      <c r="K54" s="4">
        <f>COUNTIF(SLAM!J$3:J$80,"="&amp;'verif-jurys'!$C54)-K8</f>
        <v>0</v>
      </c>
      <c r="L54" s="4">
        <f>COUNTIF(SISR!L$3:L$80,"="&amp;'verif-jurys'!$C54)-L8</f>
        <v>0</v>
      </c>
      <c r="M54" s="4">
        <f>COUNTIF(SLAM!L$3:L$80,"="&amp;'verif-jurys'!$C54)-M8</f>
        <v>0</v>
      </c>
      <c r="N54" s="4">
        <f>COUNTIF(SISR!N$3:N$80,"="&amp;'verif-jurys'!$C54)-N8</f>
        <v>0</v>
      </c>
      <c r="O54" s="4">
        <f>COUNTIF(SLAM!N$3:N$80,"="&amp;'verif-jurys'!$C54)-O8</f>
        <v>0</v>
      </c>
      <c r="P54" s="4">
        <f>COUNTIF(SISR!P$3:P$80,"="&amp;'verif-jurys'!$C54)-P8</f>
        <v>0</v>
      </c>
      <c r="Q54" s="4">
        <f>COUNTIF(SLAM!P$3:P$80,"="&amp;'verif-jurys'!$C54)-Q8</f>
        <v>0</v>
      </c>
      <c r="R54" s="4">
        <f>COUNTIF(SISR!R$3:R$80,"="&amp;'verif-jurys'!$C54)-R8</f>
        <v>0</v>
      </c>
      <c r="S54" s="4">
        <f>COUNTIF(SLAM!R$3:R$80,"="&amp;'verif-jurys'!$C54)-S8</f>
        <v>0</v>
      </c>
      <c r="T54" s="4">
        <f>COUNTIF(SISR!T$3:T$80,"="&amp;'verif-jurys'!$C54)-T8</f>
        <v>0</v>
      </c>
      <c r="U54" s="4">
        <f>COUNTIF(SLAM!T$3:T$80,"="&amp;'verif-jurys'!$C54)-U8</f>
        <v>0</v>
      </c>
      <c r="V54" s="4">
        <f>COUNTIF(SISR!V$3:V$80,"="&amp;'verif-jurys'!$C54)-V8</f>
        <v>0</v>
      </c>
      <c r="W54" s="4">
        <f>COUNTIF(SLAM!V$3:V$80,"="&amp;'verif-jurys'!$C54)-W8</f>
        <v>0</v>
      </c>
      <c r="X54" s="4">
        <f>COUNTIF(SISR!X$3:X$80,"="&amp;'verif-jurys'!$C54)-X8</f>
        <v>0</v>
      </c>
      <c r="Y54" s="4">
        <f>COUNTIF(SLAM!X$3:X$80,"="&amp;'verif-jurys'!$C54)-Y8</f>
        <v>0</v>
      </c>
      <c r="Z54" s="4">
        <f>COUNTIF(SISR!Z$3:Z$80,"="&amp;'verif-jurys'!$C54)-Z8</f>
        <v>0</v>
      </c>
      <c r="AA54" s="4">
        <f>COUNTIF(SLAM!Z$3:Z$80,"="&amp;'verif-jurys'!$C54)-AA8</f>
        <v>0</v>
      </c>
      <c r="AB54" s="4">
        <f>COUNTIF(SISR!AB$3:AB$80,"="&amp;'verif-jurys'!$C54)-AB8</f>
        <v>0</v>
      </c>
      <c r="AC54" s="4">
        <f>COUNTIF(SLAM!AB$3:AB$80,"="&amp;'verif-jurys'!$C54)-AC8</f>
        <v>0</v>
      </c>
      <c r="AD54" s="4">
        <f>COUNTIF(SISR!AD$3:AD$80,"="&amp;'verif-jurys'!$C54)-AD8</f>
        <v>1</v>
      </c>
      <c r="AE54" s="4">
        <f>COUNTIF(SLAM!AD$3:AD$80,"="&amp;'verif-jurys'!$C54)-AE8</f>
        <v>-1</v>
      </c>
      <c r="AF54" s="4">
        <f>COUNTIF(SISR!AF$3:AF$80,"="&amp;'verif-jurys'!$C54)-AF8</f>
        <v>0</v>
      </c>
      <c r="AG54" s="4">
        <f>COUNTIF(SLAM!AF$3:AF$80,"="&amp;'verif-jurys'!$C54)-AG8</f>
        <v>0</v>
      </c>
      <c r="AH54" s="4">
        <f>COUNTIF(SISR!AH$3:AH$80,"="&amp;'verif-jurys'!$C54)-AH8</f>
        <v>0</v>
      </c>
      <c r="AI54" s="4">
        <f>COUNTIF(SLAM!AH$3:AH$80,"="&amp;'verif-jurys'!$C54)-AI8</f>
        <v>0</v>
      </c>
      <c r="AJ54" s="4">
        <f>COUNTIF(SISR!AJ$3:AJ$80,"="&amp;'verif-jurys'!$C54)-AJ8</f>
        <v>1</v>
      </c>
      <c r="AK54" s="4">
        <f>COUNTIF(SLAM!AJ$3:AJ$80,"="&amp;'verif-jurys'!$C54)-AK8</f>
        <v>1</v>
      </c>
      <c r="AL54" s="4" t="e">
        <f>COUNTIF(SISR!AL$3:AL$80,"="&amp;'verif-jurys'!$C54)-AL8</f>
        <v>#REF!</v>
      </c>
      <c r="AM54" s="4" t="e">
        <f>COUNTIF(SLAM!AL$3:AL$80,"="&amp;'verif-jurys'!$C54)-AM8</f>
        <v>#REF!</v>
      </c>
      <c r="AN54" s="4" t="e">
        <f>COUNTIF(SISR!AN$3:AN$80,"="&amp;'verif-jurys'!$C54)-AN8</f>
        <v>#REF!</v>
      </c>
      <c r="AO54" s="4" t="e">
        <f>COUNTIF(SLAM!AN$3:AN$80,"="&amp;'verif-jurys'!$C54)-AO8</f>
        <v>#REF!</v>
      </c>
    </row>
    <row r="55" spans="3:41" x14ac:dyDescent="0.25">
      <c r="C55" s="4" t="str">
        <f>'E4-2016'!E8</f>
        <v>SACE</v>
      </c>
      <c r="D55" s="4" t="str">
        <f>'E4-2016'!B8</f>
        <v>CFA SACEF</v>
      </c>
      <c r="E55" s="4" t="str">
        <f>'E4-2016'!D8</f>
        <v>0754679D</v>
      </c>
      <c r="F55" s="4">
        <f>COUNTIF(SISR!F$3:F$80,"="&amp;'verif-jurys'!$C55)-F9</f>
        <v>0</v>
      </c>
      <c r="G55" s="4">
        <f>COUNTIF(SLAM!F$3:F$80,"="&amp;'verif-jurys'!$C55)-G9</f>
        <v>0</v>
      </c>
      <c r="H55" s="4">
        <f>COUNTIF(SISR!H$3:H$80,"="&amp;'verif-jurys'!$C55)-H9</f>
        <v>0</v>
      </c>
      <c r="I55" s="4">
        <f>COUNTIF(SLAM!H$3:H$80,"="&amp;'verif-jurys'!$C55)-I9</f>
        <v>0</v>
      </c>
      <c r="J55" s="4">
        <f>COUNTIF(SISR!J$3:J$80,"="&amp;'verif-jurys'!$C55)-J9</f>
        <v>0</v>
      </c>
      <c r="K55" s="4">
        <f>COUNTIF(SLAM!J$3:J$80,"="&amp;'verif-jurys'!$C55)-K9</f>
        <v>0</v>
      </c>
      <c r="L55" s="4">
        <f>COUNTIF(SISR!L$3:L$80,"="&amp;'verif-jurys'!$C55)-L9</f>
        <v>0</v>
      </c>
      <c r="M55" s="4">
        <f>COUNTIF(SLAM!L$3:L$80,"="&amp;'verif-jurys'!$C55)-M9</f>
        <v>0</v>
      </c>
      <c r="N55" s="4">
        <f>COUNTIF(SISR!N$3:N$80,"="&amp;'verif-jurys'!$C55)-N9</f>
        <v>0</v>
      </c>
      <c r="O55" s="4">
        <f>COUNTIF(SLAM!N$3:N$80,"="&amp;'verif-jurys'!$C55)-O9</f>
        <v>0</v>
      </c>
      <c r="P55" s="4">
        <f>COUNTIF(SISR!P$3:P$80,"="&amp;'verif-jurys'!$C55)-P9</f>
        <v>0</v>
      </c>
      <c r="Q55" s="4">
        <f>COUNTIF(SLAM!P$3:P$80,"="&amp;'verif-jurys'!$C55)-Q9</f>
        <v>0</v>
      </c>
      <c r="R55" s="4">
        <f>COUNTIF(SISR!R$3:R$80,"="&amp;'verif-jurys'!$C55)-R9</f>
        <v>0</v>
      </c>
      <c r="S55" s="4">
        <f>COUNTIF(SLAM!R$3:R$80,"="&amp;'verif-jurys'!$C55)-S9</f>
        <v>0</v>
      </c>
      <c r="T55" s="4">
        <f>COUNTIF(SISR!T$3:T$80,"="&amp;'verif-jurys'!$C55)-T9</f>
        <v>0</v>
      </c>
      <c r="U55" s="4">
        <f>COUNTIF(SLAM!T$3:T$80,"="&amp;'verif-jurys'!$C55)-U9</f>
        <v>0</v>
      </c>
      <c r="V55" s="4">
        <f>COUNTIF(SISR!V$3:V$80,"="&amp;'verif-jurys'!$C55)-V9</f>
        <v>0</v>
      </c>
      <c r="W55" s="4">
        <f>COUNTIF(SLAM!V$3:V$80,"="&amp;'verif-jurys'!$C55)-W9</f>
        <v>0</v>
      </c>
      <c r="X55" s="4">
        <f>COUNTIF(SISR!X$3:X$80,"="&amp;'verif-jurys'!$C55)-X9</f>
        <v>0</v>
      </c>
      <c r="Y55" s="4">
        <f>COUNTIF(SLAM!X$3:X$80,"="&amp;'verif-jurys'!$C55)-Y9</f>
        <v>0</v>
      </c>
      <c r="Z55" s="4">
        <f>COUNTIF(SISR!Z$3:Z$80,"="&amp;'verif-jurys'!$C55)-Z9</f>
        <v>0</v>
      </c>
      <c r="AA55" s="4">
        <f>COUNTIF(SLAM!Z$3:Z$80,"="&amp;'verif-jurys'!$C55)-AA9</f>
        <v>0</v>
      </c>
      <c r="AB55" s="4">
        <f>COUNTIF(SISR!AB$3:AB$80,"="&amp;'verif-jurys'!$C55)-AB9</f>
        <v>0</v>
      </c>
      <c r="AC55" s="4">
        <f>COUNTIF(SLAM!AB$3:AB$80,"="&amp;'verif-jurys'!$C55)-AC9</f>
        <v>0</v>
      </c>
      <c r="AD55" s="4">
        <f>COUNTIF(SISR!AD$3:AD$80,"="&amp;'verif-jurys'!$C55)-AD9</f>
        <v>0</v>
      </c>
      <c r="AE55" s="4">
        <f>COUNTIF(SLAM!AD$3:AD$80,"="&amp;'verif-jurys'!$C55)-AE9</f>
        <v>0</v>
      </c>
      <c r="AF55" s="4">
        <f>COUNTIF(SISR!AF$3:AF$80,"="&amp;'verif-jurys'!$C55)-AF9</f>
        <v>0</v>
      </c>
      <c r="AG55" s="4">
        <f>COUNTIF(SLAM!AF$3:AF$80,"="&amp;'verif-jurys'!$C55)-AG9</f>
        <v>0</v>
      </c>
      <c r="AH55" s="4">
        <f>COUNTIF(SISR!AH$3:AH$80,"="&amp;'verif-jurys'!$C55)-AH9</f>
        <v>0</v>
      </c>
      <c r="AI55" s="4">
        <f>COUNTIF(SLAM!AH$3:AH$80,"="&amp;'verif-jurys'!$C55)-AI9</f>
        <v>0</v>
      </c>
      <c r="AJ55" s="4">
        <f>COUNTIF(SISR!AJ$3:AJ$80,"="&amp;'verif-jurys'!$C55)-AJ9</f>
        <v>0</v>
      </c>
      <c r="AK55" s="4">
        <f>COUNTIF(SLAM!AJ$3:AJ$80,"="&amp;'verif-jurys'!$C55)-AK9</f>
        <v>0</v>
      </c>
      <c r="AL55" s="4" t="e">
        <f>COUNTIF(SISR!AL$3:AL$80,"="&amp;'verif-jurys'!$C55)-AL9</f>
        <v>#REF!</v>
      </c>
      <c r="AM55" s="4" t="e">
        <f>COUNTIF(SLAM!AL$3:AL$80,"="&amp;'verif-jurys'!$C55)-AM9</f>
        <v>#REF!</v>
      </c>
      <c r="AN55" s="4" t="e">
        <f>COUNTIF(SISR!AN$3:AN$80,"="&amp;'verif-jurys'!$C55)-AN9</f>
        <v>#REF!</v>
      </c>
      <c r="AO55" s="4" t="e">
        <f>COUNTIF(SLAM!AN$3:AN$80,"="&amp;'verif-jurys'!$C55)-AO9</f>
        <v>#REF!</v>
      </c>
    </row>
    <row r="56" spans="3:41" x14ac:dyDescent="0.25">
      <c r="C56" s="4" t="str">
        <f>'E4-2016'!E9</f>
        <v>GEFO</v>
      </c>
      <c r="D56" s="4" t="str">
        <f>'E4-2016'!B9</f>
        <v>GEFOR</v>
      </c>
      <c r="E56" s="4" t="str">
        <f>'E4-2016'!D9</f>
        <v>0755119G</v>
      </c>
      <c r="F56" s="4">
        <f>COUNTIF(SISR!F$3:F$80,"="&amp;'verif-jurys'!$C56)-F10</f>
        <v>0</v>
      </c>
      <c r="G56" s="4">
        <f>COUNTIF(SLAM!F$3:F$80,"="&amp;'verif-jurys'!$C56)-G10</f>
        <v>0</v>
      </c>
      <c r="H56" s="4">
        <f>COUNTIF(SISR!H$3:H$80,"="&amp;'verif-jurys'!$C56)-H10</f>
        <v>0</v>
      </c>
      <c r="I56" s="4">
        <f>COUNTIF(SLAM!H$3:H$80,"="&amp;'verif-jurys'!$C56)-I10</f>
        <v>0</v>
      </c>
      <c r="J56" s="4">
        <f>COUNTIF(SISR!J$3:J$80,"="&amp;'verif-jurys'!$C56)-J10</f>
        <v>0</v>
      </c>
      <c r="K56" s="4">
        <f>COUNTIF(SLAM!J$3:J$80,"="&amp;'verif-jurys'!$C56)-K10</f>
        <v>0</v>
      </c>
      <c r="L56" s="4">
        <f>COUNTIF(SISR!L$3:L$80,"="&amp;'verif-jurys'!$C56)-L10</f>
        <v>0</v>
      </c>
      <c r="M56" s="4">
        <f>COUNTIF(SLAM!L$3:L$80,"="&amp;'verif-jurys'!$C56)-M10</f>
        <v>0</v>
      </c>
      <c r="N56" s="4">
        <f>COUNTIF(SISR!N$3:N$80,"="&amp;'verif-jurys'!$C56)-N10</f>
        <v>0</v>
      </c>
      <c r="O56" s="4">
        <f>COUNTIF(SLAM!N$3:N$80,"="&amp;'verif-jurys'!$C56)-O10</f>
        <v>0</v>
      </c>
      <c r="P56" s="4">
        <f>COUNTIF(SISR!P$3:P$80,"="&amp;'verif-jurys'!$C56)-P10</f>
        <v>0</v>
      </c>
      <c r="Q56" s="4">
        <f>COUNTIF(SLAM!P$3:P$80,"="&amp;'verif-jurys'!$C56)-Q10</f>
        <v>0</v>
      </c>
      <c r="R56" s="4">
        <f>COUNTIF(SISR!R$3:R$80,"="&amp;'verif-jurys'!$C56)-R10</f>
        <v>0</v>
      </c>
      <c r="S56" s="4">
        <f>COUNTIF(SLAM!R$3:R$80,"="&amp;'verif-jurys'!$C56)-S10</f>
        <v>0</v>
      </c>
      <c r="T56" s="4">
        <f>COUNTIF(SISR!T$3:T$80,"="&amp;'verif-jurys'!$C56)-T10</f>
        <v>0</v>
      </c>
      <c r="U56" s="4">
        <f>COUNTIF(SLAM!T$3:T$80,"="&amp;'verif-jurys'!$C56)-U10</f>
        <v>0</v>
      </c>
      <c r="V56" s="4">
        <f>COUNTIF(SISR!V$3:V$80,"="&amp;'verif-jurys'!$C56)-V10</f>
        <v>0</v>
      </c>
      <c r="W56" s="4">
        <f>COUNTIF(SLAM!V$3:V$80,"="&amp;'verif-jurys'!$C56)-W10</f>
        <v>0</v>
      </c>
      <c r="X56" s="4">
        <f>COUNTIF(SISR!X$3:X$80,"="&amp;'verif-jurys'!$C56)-X10</f>
        <v>0</v>
      </c>
      <c r="Y56" s="4">
        <f>COUNTIF(SLAM!X$3:X$80,"="&amp;'verif-jurys'!$C56)-Y10</f>
        <v>0</v>
      </c>
      <c r="Z56" s="4">
        <f>COUNTIF(SISR!Z$3:Z$80,"="&amp;'verif-jurys'!$C56)-Z10</f>
        <v>0</v>
      </c>
      <c r="AA56" s="4">
        <f>COUNTIF(SLAM!Z$3:Z$80,"="&amp;'verif-jurys'!$C56)-AA10</f>
        <v>0</v>
      </c>
      <c r="AB56" s="4">
        <f>COUNTIF(SISR!AB$3:AB$80,"="&amp;'verif-jurys'!$C56)-AB10</f>
        <v>0</v>
      </c>
      <c r="AC56" s="4">
        <f>COUNTIF(SLAM!AB$3:AB$80,"="&amp;'verif-jurys'!$C56)-AC10</f>
        <v>0</v>
      </c>
      <c r="AD56" s="4">
        <f>COUNTIF(SISR!AD$3:AD$80,"="&amp;'verif-jurys'!$C56)-AD10</f>
        <v>0</v>
      </c>
      <c r="AE56" s="4">
        <f>COUNTIF(SLAM!AD$3:AD$80,"="&amp;'verif-jurys'!$C56)-AE10</f>
        <v>0</v>
      </c>
      <c r="AF56" s="4">
        <f>COUNTIF(SISR!AF$3:AF$80,"="&amp;'verif-jurys'!$C56)-AF10</f>
        <v>0</v>
      </c>
      <c r="AG56" s="4">
        <f>COUNTIF(SLAM!AF$3:AF$80,"="&amp;'verif-jurys'!$C56)-AG10</f>
        <v>0</v>
      </c>
      <c r="AH56" s="4">
        <f>COUNTIF(SISR!AH$3:AH$80,"="&amp;'verif-jurys'!$C56)-AH10</f>
        <v>0</v>
      </c>
      <c r="AI56" s="4">
        <f>COUNTIF(SLAM!AH$3:AH$80,"="&amp;'verif-jurys'!$C56)-AI10</f>
        <v>0</v>
      </c>
      <c r="AJ56" s="4">
        <f>COUNTIF(SISR!AJ$3:AJ$80,"="&amp;'verif-jurys'!$C56)-AJ10</f>
        <v>0</v>
      </c>
      <c r="AK56" s="4">
        <f>COUNTIF(SLAM!AJ$3:AJ$80,"="&amp;'verif-jurys'!$C56)-AK10</f>
        <v>0</v>
      </c>
      <c r="AL56" s="4" t="e">
        <f>COUNTIF(SISR!AL$3:AL$80,"="&amp;'verif-jurys'!$C56)-AL10</f>
        <v>#REF!</v>
      </c>
      <c r="AM56" s="4" t="e">
        <f>COUNTIF(SLAM!AL$3:AL$80,"="&amp;'verif-jurys'!$C56)-AM10</f>
        <v>#REF!</v>
      </c>
      <c r="AN56" s="4" t="e">
        <f>COUNTIF(SISR!AN$3:AN$80,"="&amp;'verif-jurys'!$C56)-AN10</f>
        <v>#REF!</v>
      </c>
      <c r="AO56" s="4" t="e">
        <f>COUNTIF(SLAM!AN$3:AN$80,"="&amp;'verif-jurys'!$C56)-AO10</f>
        <v>#REF!</v>
      </c>
    </row>
    <row r="57" spans="3:41" x14ac:dyDescent="0.25">
      <c r="C57" s="4" t="str">
        <f>'E4-2016'!E10</f>
        <v>IMC</v>
      </c>
      <c r="D57" s="4" t="str">
        <f>'E4-2016'!B10</f>
        <v>CFA IMC</v>
      </c>
      <c r="E57" s="4" t="str">
        <f>'E4-2016'!D10</f>
        <v>0755197S</v>
      </c>
      <c r="F57" s="4">
        <f>COUNTIF(SISR!F$3:F$80,"="&amp;'verif-jurys'!$C57)-F11</f>
        <v>0</v>
      </c>
      <c r="G57" s="4">
        <f>COUNTIF(SLAM!F$3:F$80,"="&amp;'verif-jurys'!$C57)-G11</f>
        <v>0</v>
      </c>
      <c r="H57" s="4">
        <f>COUNTIF(SISR!H$3:H$80,"="&amp;'verif-jurys'!$C57)-H11</f>
        <v>0</v>
      </c>
      <c r="I57" s="4">
        <f>COUNTIF(SLAM!H$3:H$80,"="&amp;'verif-jurys'!$C57)-I11</f>
        <v>0</v>
      </c>
      <c r="J57" s="4">
        <f>COUNTIF(SISR!J$3:J$80,"="&amp;'verif-jurys'!$C57)-J11</f>
        <v>0</v>
      </c>
      <c r="K57" s="4">
        <f>COUNTIF(SLAM!J$3:J$80,"="&amp;'verif-jurys'!$C57)-K11</f>
        <v>0</v>
      </c>
      <c r="L57" s="4">
        <f>COUNTIF(SISR!L$3:L$80,"="&amp;'verif-jurys'!$C57)-L11</f>
        <v>0</v>
      </c>
      <c r="M57" s="4">
        <f>COUNTIF(SLAM!L$3:L$80,"="&amp;'verif-jurys'!$C57)-M11</f>
        <v>0</v>
      </c>
      <c r="N57" s="4">
        <f>COUNTIF(SISR!N$3:N$80,"="&amp;'verif-jurys'!$C57)-N11</f>
        <v>0</v>
      </c>
      <c r="O57" s="4">
        <f>COUNTIF(SLAM!N$3:N$80,"="&amp;'verif-jurys'!$C57)-O11</f>
        <v>0</v>
      </c>
      <c r="P57" s="4">
        <f>COUNTIF(SISR!P$3:P$80,"="&amp;'verif-jurys'!$C57)-P11</f>
        <v>0</v>
      </c>
      <c r="Q57" s="4">
        <f>COUNTIF(SLAM!P$3:P$80,"="&amp;'verif-jurys'!$C57)-Q11</f>
        <v>0</v>
      </c>
      <c r="R57" s="4">
        <f>COUNTIF(SISR!R$3:R$80,"="&amp;'verif-jurys'!$C57)-R11</f>
        <v>0</v>
      </c>
      <c r="S57" s="4">
        <f>COUNTIF(SLAM!R$3:R$80,"="&amp;'verif-jurys'!$C57)-S11</f>
        <v>0</v>
      </c>
      <c r="T57" s="4">
        <f>COUNTIF(SISR!T$3:T$80,"="&amp;'verif-jurys'!$C57)-T11</f>
        <v>0</v>
      </c>
      <c r="U57" s="4">
        <f>COUNTIF(SLAM!T$3:T$80,"="&amp;'verif-jurys'!$C57)-U11</f>
        <v>0</v>
      </c>
      <c r="V57" s="4">
        <f>COUNTIF(SISR!V$3:V$80,"="&amp;'verif-jurys'!$C57)-V11</f>
        <v>0</v>
      </c>
      <c r="W57" s="4">
        <f>COUNTIF(SLAM!V$3:V$80,"="&amp;'verif-jurys'!$C57)-W11</f>
        <v>0</v>
      </c>
      <c r="X57" s="4">
        <f>COUNTIF(SISR!X$3:X$80,"="&amp;'verif-jurys'!$C57)-X11</f>
        <v>0</v>
      </c>
      <c r="Y57" s="4">
        <f>COUNTIF(SLAM!X$3:X$80,"="&amp;'verif-jurys'!$C57)-Y11</f>
        <v>0</v>
      </c>
      <c r="Z57" s="4">
        <f>COUNTIF(SISR!Z$3:Z$80,"="&amp;'verif-jurys'!$C57)-Z11</f>
        <v>0</v>
      </c>
      <c r="AA57" s="4">
        <f>COUNTIF(SLAM!Z$3:Z$80,"="&amp;'verif-jurys'!$C57)-AA11</f>
        <v>0</v>
      </c>
      <c r="AB57" s="4">
        <f>COUNTIF(SISR!AB$3:AB$80,"="&amp;'verif-jurys'!$C57)-AB11</f>
        <v>0</v>
      </c>
      <c r="AC57" s="4">
        <f>COUNTIF(SLAM!AB$3:AB$80,"="&amp;'verif-jurys'!$C57)-AC11</f>
        <v>0</v>
      </c>
      <c r="AD57" s="4">
        <f>COUNTIF(SISR!AD$3:AD$80,"="&amp;'verif-jurys'!$C57)-AD11</f>
        <v>0</v>
      </c>
      <c r="AE57" s="4">
        <f>COUNTIF(SLAM!AD$3:AD$80,"="&amp;'verif-jurys'!$C57)-AE11</f>
        <v>0</v>
      </c>
      <c r="AF57" s="4">
        <f>COUNTIF(SISR!AF$3:AF$80,"="&amp;'verif-jurys'!$C57)-AF11</f>
        <v>0</v>
      </c>
      <c r="AG57" s="4">
        <f>COUNTIF(SLAM!AF$3:AF$80,"="&amp;'verif-jurys'!$C57)-AG11</f>
        <v>0</v>
      </c>
      <c r="AH57" s="4">
        <f>COUNTIF(SISR!AH$3:AH$80,"="&amp;'verif-jurys'!$C57)-AH11</f>
        <v>0</v>
      </c>
      <c r="AI57" s="4">
        <f>COUNTIF(SLAM!AH$3:AH$80,"="&amp;'verif-jurys'!$C57)-AI11</f>
        <v>0</v>
      </c>
      <c r="AJ57" s="4">
        <f>COUNTIF(SISR!AJ$3:AJ$80,"="&amp;'verif-jurys'!$C57)-AJ11</f>
        <v>0</v>
      </c>
      <c r="AK57" s="4">
        <f>COUNTIF(SLAM!AJ$3:AJ$80,"="&amp;'verif-jurys'!$C57)-AK11</f>
        <v>0</v>
      </c>
      <c r="AL57" s="4" t="e">
        <f>COUNTIF(SISR!AL$3:AL$80,"="&amp;'verif-jurys'!$C57)-AL11</f>
        <v>#REF!</v>
      </c>
      <c r="AM57" s="4" t="e">
        <f>COUNTIF(SLAM!AL$3:AL$80,"="&amp;'verif-jurys'!$C57)-AM11</f>
        <v>#REF!</v>
      </c>
      <c r="AN57" s="4" t="e">
        <f>COUNTIF(SISR!AN$3:AN$80,"="&amp;'verif-jurys'!$C57)-AN11</f>
        <v>#REF!</v>
      </c>
      <c r="AO57" s="4" t="e">
        <f>COUNTIF(SLAM!AN$3:AN$80,"="&amp;'verif-jurys'!$C57)-AO11</f>
        <v>#REF!</v>
      </c>
    </row>
    <row r="58" spans="3:41" x14ac:dyDescent="0.25">
      <c r="C58" s="4" t="str">
        <f>'E4-2016'!E11</f>
        <v>INSTA</v>
      </c>
      <c r="D58" s="4" t="str">
        <f>'E4-2016'!B11</f>
        <v>INSTA</v>
      </c>
      <c r="E58" s="4" t="str">
        <f>'E4-2016'!D11</f>
        <v>0755294X</v>
      </c>
      <c r="F58" s="4">
        <f>COUNTIF(SISR!F$3:F$80,"="&amp;'verif-jurys'!$C58)-F12</f>
        <v>0</v>
      </c>
      <c r="G58" s="4">
        <f>COUNTIF(SLAM!F$3:F$80,"="&amp;'verif-jurys'!$C58)-G12</f>
        <v>0</v>
      </c>
      <c r="H58" s="4">
        <f>COUNTIF(SISR!H$3:H$80,"="&amp;'verif-jurys'!$C58)-H12</f>
        <v>0</v>
      </c>
      <c r="I58" s="4">
        <f>COUNTIF(SLAM!H$3:H$80,"="&amp;'verif-jurys'!$C58)-I12</f>
        <v>0</v>
      </c>
      <c r="J58" s="4">
        <f>COUNTIF(SISR!J$3:J$80,"="&amp;'verif-jurys'!$C58)-J12</f>
        <v>0</v>
      </c>
      <c r="K58" s="4">
        <f>COUNTIF(SLAM!J$3:J$80,"="&amp;'verif-jurys'!$C58)-K12</f>
        <v>0</v>
      </c>
      <c r="L58" s="4">
        <f>COUNTIF(SISR!L$3:L$80,"="&amp;'verif-jurys'!$C58)-L12</f>
        <v>0</v>
      </c>
      <c r="M58" s="4">
        <f>COUNTIF(SLAM!L$3:L$80,"="&amp;'verif-jurys'!$C58)-M12</f>
        <v>0</v>
      </c>
      <c r="N58" s="4">
        <f>COUNTIF(SISR!N$3:N$80,"="&amp;'verif-jurys'!$C58)-N12</f>
        <v>0</v>
      </c>
      <c r="O58" s="4">
        <f>COUNTIF(SLAM!N$3:N$80,"="&amp;'verif-jurys'!$C58)-O12</f>
        <v>0</v>
      </c>
      <c r="P58" s="4">
        <f>COUNTIF(SISR!P$3:P$80,"="&amp;'verif-jurys'!$C58)-P12</f>
        <v>0</v>
      </c>
      <c r="Q58" s="4">
        <f>COUNTIF(SLAM!P$3:P$80,"="&amp;'verif-jurys'!$C58)-Q12</f>
        <v>0</v>
      </c>
      <c r="R58" s="4">
        <f>COUNTIF(SISR!R$3:R$80,"="&amp;'verif-jurys'!$C58)-R12</f>
        <v>0</v>
      </c>
      <c r="S58" s="4">
        <f>COUNTIF(SLAM!R$3:R$80,"="&amp;'verif-jurys'!$C58)-S12</f>
        <v>0</v>
      </c>
      <c r="T58" s="4">
        <f>COUNTIF(SISR!T$3:T$80,"="&amp;'verif-jurys'!$C58)-T12</f>
        <v>0</v>
      </c>
      <c r="U58" s="4">
        <f>COUNTIF(SLAM!T$3:T$80,"="&amp;'verif-jurys'!$C58)-U12</f>
        <v>0</v>
      </c>
      <c r="V58" s="4">
        <f>COUNTIF(SISR!V$3:V$80,"="&amp;'verif-jurys'!$C58)-V12</f>
        <v>0</v>
      </c>
      <c r="W58" s="4">
        <f>COUNTIF(SLAM!V$3:V$80,"="&amp;'verif-jurys'!$C58)-W12</f>
        <v>0</v>
      </c>
      <c r="X58" s="4">
        <f>COUNTIF(SISR!X$3:X$80,"="&amp;'verif-jurys'!$C58)-X12</f>
        <v>0</v>
      </c>
      <c r="Y58" s="4">
        <f>COUNTIF(SLAM!X$3:X$80,"="&amp;'verif-jurys'!$C58)-Y12</f>
        <v>0</v>
      </c>
      <c r="Z58" s="4">
        <f>COUNTIF(SISR!Z$3:Z$80,"="&amp;'verif-jurys'!$C58)-Z12</f>
        <v>0</v>
      </c>
      <c r="AA58" s="4">
        <f>COUNTIF(SLAM!Z$3:Z$80,"="&amp;'verif-jurys'!$C58)-AA12</f>
        <v>0</v>
      </c>
      <c r="AB58" s="4">
        <f>COUNTIF(SISR!AB$3:AB$80,"="&amp;'verif-jurys'!$C58)-AB12</f>
        <v>0</v>
      </c>
      <c r="AC58" s="4">
        <f>COUNTIF(SLAM!AB$3:AB$80,"="&amp;'verif-jurys'!$C58)-AC12</f>
        <v>0</v>
      </c>
      <c r="AD58" s="4">
        <f>COUNTIF(SISR!AD$3:AD$80,"="&amp;'verif-jurys'!$C58)-AD12</f>
        <v>0</v>
      </c>
      <c r="AE58" s="4">
        <f>COUNTIF(SLAM!AD$3:AD$80,"="&amp;'verif-jurys'!$C58)-AE12</f>
        <v>0</v>
      </c>
      <c r="AF58" s="4">
        <f>COUNTIF(SISR!AF$3:AF$80,"="&amp;'verif-jurys'!$C58)-AF12</f>
        <v>0</v>
      </c>
      <c r="AG58" s="4">
        <f>COUNTIF(SLAM!AF$3:AF$80,"="&amp;'verif-jurys'!$C58)-AG12</f>
        <v>0</v>
      </c>
      <c r="AH58" s="4">
        <f>COUNTIF(SISR!AH$3:AH$80,"="&amp;'verif-jurys'!$C58)-AH12</f>
        <v>0</v>
      </c>
      <c r="AI58" s="4">
        <f>COUNTIF(SLAM!AH$3:AH$80,"="&amp;'verif-jurys'!$C58)-AI12</f>
        <v>0</v>
      </c>
      <c r="AJ58" s="4">
        <f>COUNTIF(SISR!AJ$3:AJ$80,"="&amp;'verif-jurys'!$C58)-AJ12</f>
        <v>0</v>
      </c>
      <c r="AK58" s="4">
        <f>COUNTIF(SLAM!AJ$3:AJ$80,"="&amp;'verif-jurys'!$C58)-AK12</f>
        <v>0</v>
      </c>
      <c r="AL58" s="4" t="e">
        <f>COUNTIF(SISR!AL$3:AL$80,"="&amp;'verif-jurys'!$C58)-AL12</f>
        <v>#REF!</v>
      </c>
      <c r="AM58" s="4" t="e">
        <f>COUNTIF(SLAM!AL$3:AL$80,"="&amp;'verif-jurys'!$C58)-AM12</f>
        <v>#REF!</v>
      </c>
      <c r="AN58" s="4" t="e">
        <f>COUNTIF(SISR!AN$3:AN$80,"="&amp;'verif-jurys'!$C58)-AN12</f>
        <v>#REF!</v>
      </c>
      <c r="AO58" s="4" t="e">
        <f>COUNTIF(SLAM!AN$3:AN$80,"="&amp;'verif-jurys'!$C58)-AO12</f>
        <v>#REF!</v>
      </c>
    </row>
    <row r="59" spans="3:41" x14ac:dyDescent="0.25">
      <c r="C59" s="4" t="str">
        <f>'E4-2016'!E12</f>
        <v>CINST</v>
      </c>
      <c r="D59" s="4" t="str">
        <f>'E4-2016'!B12</f>
        <v>CFA INSTA</v>
      </c>
      <c r="E59" s="4" t="str">
        <f>'E4-2016'!D12</f>
        <v>0755432X</v>
      </c>
      <c r="F59" s="4">
        <f>COUNTIF(SISR!F$3:F$80,"="&amp;'verif-jurys'!$C59)-F13</f>
        <v>0</v>
      </c>
      <c r="G59" s="4">
        <f>COUNTIF(SLAM!F$3:F$80,"="&amp;'verif-jurys'!$C59)-G13</f>
        <v>0</v>
      </c>
      <c r="H59" s="4">
        <f>COUNTIF(SISR!H$3:H$80,"="&amp;'verif-jurys'!$C59)-H13</f>
        <v>0</v>
      </c>
      <c r="I59" s="4">
        <f>COUNTIF(SLAM!H$3:H$80,"="&amp;'verif-jurys'!$C59)-I13</f>
        <v>0</v>
      </c>
      <c r="J59" s="4">
        <f>COUNTIF(SISR!J$3:J$80,"="&amp;'verif-jurys'!$C59)-J13</f>
        <v>0</v>
      </c>
      <c r="K59" s="4">
        <f>COUNTIF(SLAM!J$3:J$80,"="&amp;'verif-jurys'!$C59)-K13</f>
        <v>0</v>
      </c>
      <c r="L59" s="4">
        <f>COUNTIF(SISR!L$3:L$80,"="&amp;'verif-jurys'!$C59)-L13</f>
        <v>0</v>
      </c>
      <c r="M59" s="4">
        <f>COUNTIF(SLAM!L$3:L$80,"="&amp;'verif-jurys'!$C59)-M13</f>
        <v>0</v>
      </c>
      <c r="N59" s="4">
        <f>COUNTIF(SISR!N$3:N$80,"="&amp;'verif-jurys'!$C59)-N13</f>
        <v>0</v>
      </c>
      <c r="O59" s="4">
        <f>COUNTIF(SLAM!N$3:N$80,"="&amp;'verif-jurys'!$C59)-O13</f>
        <v>0</v>
      </c>
      <c r="P59" s="4">
        <f>COUNTIF(SISR!P$3:P$80,"="&amp;'verif-jurys'!$C59)-P13</f>
        <v>0</v>
      </c>
      <c r="Q59" s="4">
        <f>COUNTIF(SLAM!P$3:P$80,"="&amp;'verif-jurys'!$C59)-Q13</f>
        <v>0</v>
      </c>
      <c r="R59" s="4">
        <f>COUNTIF(SISR!R$3:R$80,"="&amp;'verif-jurys'!$C59)-R13</f>
        <v>0</v>
      </c>
      <c r="S59" s="4">
        <f>COUNTIF(SLAM!R$3:R$80,"="&amp;'verif-jurys'!$C59)-S13</f>
        <v>0</v>
      </c>
      <c r="T59" s="4">
        <f>COUNTIF(SISR!T$3:T$80,"="&amp;'verif-jurys'!$C59)-T13</f>
        <v>0</v>
      </c>
      <c r="U59" s="4">
        <f>COUNTIF(SLAM!T$3:T$80,"="&amp;'verif-jurys'!$C59)-U13</f>
        <v>0</v>
      </c>
      <c r="V59" s="4">
        <f>COUNTIF(SISR!V$3:V$80,"="&amp;'verif-jurys'!$C59)-V13</f>
        <v>0</v>
      </c>
      <c r="W59" s="4">
        <f>COUNTIF(SLAM!V$3:V$80,"="&amp;'verif-jurys'!$C59)-W13</f>
        <v>0</v>
      </c>
      <c r="X59" s="4">
        <f>COUNTIF(SISR!X$3:X$80,"="&amp;'verif-jurys'!$C59)-X13</f>
        <v>0</v>
      </c>
      <c r="Y59" s="4">
        <f>COUNTIF(SLAM!X$3:X$80,"="&amp;'verif-jurys'!$C59)-Y13</f>
        <v>0</v>
      </c>
      <c r="Z59" s="4">
        <f>COUNTIF(SISR!Z$3:Z$80,"="&amp;'verif-jurys'!$C59)-Z13</f>
        <v>0</v>
      </c>
      <c r="AA59" s="4">
        <f>COUNTIF(SLAM!Z$3:Z$80,"="&amp;'verif-jurys'!$C59)-AA13</f>
        <v>0</v>
      </c>
      <c r="AB59" s="4">
        <f>COUNTIF(SISR!AB$3:AB$80,"="&amp;'verif-jurys'!$C59)-AB13</f>
        <v>0</v>
      </c>
      <c r="AC59" s="4">
        <f>COUNTIF(SLAM!AB$3:AB$80,"="&amp;'verif-jurys'!$C59)-AC13</f>
        <v>0</v>
      </c>
      <c r="AD59" s="4">
        <f>COUNTIF(SISR!AD$3:AD$80,"="&amp;'verif-jurys'!$C59)-AD13</f>
        <v>0</v>
      </c>
      <c r="AE59" s="4">
        <f>COUNTIF(SLAM!AD$3:AD$80,"="&amp;'verif-jurys'!$C59)-AE13</f>
        <v>0</v>
      </c>
      <c r="AF59" s="4">
        <f>COUNTIF(SISR!AF$3:AF$80,"="&amp;'verif-jurys'!$C59)-AF13</f>
        <v>0</v>
      </c>
      <c r="AG59" s="4">
        <f>COUNTIF(SLAM!AF$3:AF$80,"="&amp;'verif-jurys'!$C59)-AG13</f>
        <v>0</v>
      </c>
      <c r="AH59" s="4">
        <f>COUNTIF(SISR!AH$3:AH$80,"="&amp;'verif-jurys'!$C59)-AH13</f>
        <v>0</v>
      </c>
      <c r="AI59" s="4">
        <f>COUNTIF(SLAM!AH$3:AH$80,"="&amp;'verif-jurys'!$C59)-AI13</f>
        <v>0</v>
      </c>
      <c r="AJ59" s="4">
        <f>COUNTIF(SISR!AJ$3:AJ$80,"="&amp;'verif-jurys'!$C59)-AJ13</f>
        <v>0</v>
      </c>
      <c r="AK59" s="4">
        <f>COUNTIF(SLAM!AJ$3:AJ$80,"="&amp;'verif-jurys'!$C59)-AK13</f>
        <v>0</v>
      </c>
      <c r="AL59" s="4" t="e">
        <f>COUNTIF(SISR!AL$3:AL$80,"="&amp;'verif-jurys'!$C59)-AL13</f>
        <v>#REF!</v>
      </c>
      <c r="AM59" s="4" t="e">
        <f>COUNTIF(SLAM!AL$3:AL$80,"="&amp;'verif-jurys'!$C59)-AM13</f>
        <v>#REF!</v>
      </c>
      <c r="AN59" s="4" t="e">
        <f>COUNTIF(SISR!AN$3:AN$80,"="&amp;'verif-jurys'!$C59)-AN13</f>
        <v>#REF!</v>
      </c>
      <c r="AO59" s="4" t="e">
        <f>COUNTIF(SLAM!AN$3:AN$80,"="&amp;'verif-jurys'!$C59)-AO13</f>
        <v>#REF!</v>
      </c>
    </row>
    <row r="60" spans="3:41" x14ac:dyDescent="0.25">
      <c r="C60" s="4" t="str">
        <f>'E4-2016'!E13</f>
        <v>DID</v>
      </c>
      <c r="D60" s="4" t="str">
        <f>'E4-2016'!B13</f>
        <v>Cours Privé Diderot Paris 11</v>
      </c>
      <c r="E60" s="4" t="str">
        <f>'E4-2016'!D13</f>
        <v>0755559K</v>
      </c>
      <c r="F60" s="4">
        <f>COUNTIF(SISR!F$3:F$80,"="&amp;'verif-jurys'!$C60)-F14</f>
        <v>0</v>
      </c>
      <c r="G60" s="4">
        <f>COUNTIF(SLAM!F$3:F$80,"="&amp;'verif-jurys'!$C60)-G14</f>
        <v>0</v>
      </c>
      <c r="H60" s="4">
        <f>COUNTIF(SISR!H$3:H$80,"="&amp;'verif-jurys'!$C60)-H14</f>
        <v>0</v>
      </c>
      <c r="I60" s="4">
        <f>COUNTIF(SLAM!H$3:H$80,"="&amp;'verif-jurys'!$C60)-I14</f>
        <v>0</v>
      </c>
      <c r="J60" s="4">
        <f>COUNTIF(SISR!J$3:J$80,"="&amp;'verif-jurys'!$C60)-J14</f>
        <v>0</v>
      </c>
      <c r="K60" s="4">
        <f>COUNTIF(SLAM!J$3:J$80,"="&amp;'verif-jurys'!$C60)-K14</f>
        <v>0</v>
      </c>
      <c r="L60" s="4">
        <f>COUNTIF(SISR!L$3:L$80,"="&amp;'verif-jurys'!$C60)-L14</f>
        <v>0</v>
      </c>
      <c r="M60" s="4">
        <f>COUNTIF(SLAM!L$3:L$80,"="&amp;'verif-jurys'!$C60)-M14</f>
        <v>0</v>
      </c>
      <c r="N60" s="4">
        <f>COUNTIF(SISR!N$3:N$80,"="&amp;'verif-jurys'!$C60)-N14</f>
        <v>0</v>
      </c>
      <c r="O60" s="4">
        <f>COUNTIF(SLAM!N$3:N$80,"="&amp;'verif-jurys'!$C60)-O14</f>
        <v>0</v>
      </c>
      <c r="P60" s="4">
        <f>COUNTIF(SISR!P$3:P$80,"="&amp;'verif-jurys'!$C60)-P14</f>
        <v>0</v>
      </c>
      <c r="Q60" s="4">
        <f>COUNTIF(SLAM!P$3:P$80,"="&amp;'verif-jurys'!$C60)-Q14</f>
        <v>0</v>
      </c>
      <c r="R60" s="4">
        <f>COUNTIF(SISR!R$3:R$80,"="&amp;'verif-jurys'!$C60)-R14</f>
        <v>0</v>
      </c>
      <c r="S60" s="4">
        <f>COUNTIF(SLAM!R$3:R$80,"="&amp;'verif-jurys'!$C60)-S14</f>
        <v>0</v>
      </c>
      <c r="T60" s="4">
        <f>COUNTIF(SISR!T$3:T$80,"="&amp;'verif-jurys'!$C60)-T14</f>
        <v>0</v>
      </c>
      <c r="U60" s="4">
        <f>COUNTIF(SLAM!T$3:T$80,"="&amp;'verif-jurys'!$C60)-U14</f>
        <v>0</v>
      </c>
      <c r="V60" s="4">
        <f>COUNTIF(SISR!V$3:V$80,"="&amp;'verif-jurys'!$C60)-V14</f>
        <v>0</v>
      </c>
      <c r="W60" s="4">
        <f>COUNTIF(SLAM!V$3:V$80,"="&amp;'verif-jurys'!$C60)-W14</f>
        <v>0</v>
      </c>
      <c r="X60" s="4">
        <f>COUNTIF(SISR!X$3:X$80,"="&amp;'verif-jurys'!$C60)-X14</f>
        <v>0</v>
      </c>
      <c r="Y60" s="4">
        <f>COUNTIF(SLAM!X$3:X$80,"="&amp;'verif-jurys'!$C60)-Y14</f>
        <v>0</v>
      </c>
      <c r="Z60" s="4">
        <f>COUNTIF(SISR!Z$3:Z$80,"="&amp;'verif-jurys'!$C60)-Z14</f>
        <v>0</v>
      </c>
      <c r="AA60" s="4">
        <f>COUNTIF(SLAM!Z$3:Z$80,"="&amp;'verif-jurys'!$C60)-AA14</f>
        <v>0</v>
      </c>
      <c r="AB60" s="4">
        <f>COUNTIF(SISR!AB$3:AB$80,"="&amp;'verif-jurys'!$C60)-AB14</f>
        <v>0</v>
      </c>
      <c r="AC60" s="4">
        <f>COUNTIF(SLAM!AB$3:AB$80,"="&amp;'verif-jurys'!$C60)-AC14</f>
        <v>0</v>
      </c>
      <c r="AD60" s="4">
        <f>COUNTIF(SISR!AD$3:AD$80,"="&amp;'verif-jurys'!$C60)-AD14</f>
        <v>0</v>
      </c>
      <c r="AE60" s="4">
        <f>COUNTIF(SLAM!AD$3:AD$80,"="&amp;'verif-jurys'!$C60)-AE14</f>
        <v>0</v>
      </c>
      <c r="AF60" s="4">
        <f>COUNTIF(SISR!AF$3:AF$80,"="&amp;'verif-jurys'!$C60)-AF14</f>
        <v>0</v>
      </c>
      <c r="AG60" s="4">
        <f>COUNTIF(SLAM!AF$3:AF$80,"="&amp;'verif-jurys'!$C60)-AG14</f>
        <v>0</v>
      </c>
      <c r="AH60" s="4">
        <f>COUNTIF(SISR!AH$3:AH$80,"="&amp;'verif-jurys'!$C60)-AH14</f>
        <v>0</v>
      </c>
      <c r="AI60" s="4">
        <f>COUNTIF(SLAM!AH$3:AH$80,"="&amp;'verif-jurys'!$C60)-AI14</f>
        <v>0</v>
      </c>
      <c r="AJ60" s="4">
        <f>COUNTIF(SISR!AJ$3:AJ$80,"="&amp;'verif-jurys'!$C60)-AJ14</f>
        <v>0</v>
      </c>
      <c r="AK60" s="4">
        <f>COUNTIF(SLAM!AJ$3:AJ$80,"="&amp;'verif-jurys'!$C60)-AK14</f>
        <v>0</v>
      </c>
      <c r="AL60" s="4" t="e">
        <f>COUNTIF(SISR!AL$3:AL$80,"="&amp;'verif-jurys'!$C60)-AL14</f>
        <v>#REF!</v>
      </c>
      <c r="AM60" s="4" t="e">
        <f>COUNTIF(SLAM!AL$3:AL$80,"="&amp;'verif-jurys'!$C60)-AM14</f>
        <v>#REF!</v>
      </c>
      <c r="AN60" s="4" t="e">
        <f>COUNTIF(SISR!AN$3:AN$80,"="&amp;'verif-jurys'!$C60)-AN14</f>
        <v>#REF!</v>
      </c>
      <c r="AO60" s="4" t="e">
        <f>COUNTIF(SLAM!AN$3:AN$80,"="&amp;'verif-jurys'!$C60)-AO14</f>
        <v>#REF!</v>
      </c>
    </row>
    <row r="61" spans="3:41" x14ac:dyDescent="0.25">
      <c r="C61" s="4" t="str">
        <f>'E4-2016'!E14</f>
        <v>ISMI</v>
      </c>
      <c r="D61" s="4" t="str">
        <f>'E4-2016'!B14</f>
        <v>ISMI</v>
      </c>
      <c r="E61" s="4" t="str">
        <f>'E4-2016'!D14</f>
        <v>0755577E</v>
      </c>
      <c r="F61" s="4">
        <f>COUNTIF(SISR!F$3:F$80,"="&amp;'verif-jurys'!$C61)-F15</f>
        <v>0</v>
      </c>
      <c r="G61" s="4">
        <f>COUNTIF(SLAM!F$3:F$80,"="&amp;'verif-jurys'!$C61)-G15</f>
        <v>0</v>
      </c>
      <c r="H61" s="4">
        <f>COUNTIF(SISR!H$3:H$80,"="&amp;'verif-jurys'!$C61)-H15</f>
        <v>0</v>
      </c>
      <c r="I61" s="4">
        <f>COUNTIF(SLAM!H$3:H$80,"="&amp;'verif-jurys'!$C61)-I15</f>
        <v>0</v>
      </c>
      <c r="J61" s="4">
        <f>COUNTIF(SISR!J$3:J$80,"="&amp;'verif-jurys'!$C61)-J15</f>
        <v>0</v>
      </c>
      <c r="K61" s="4">
        <f>COUNTIF(SLAM!J$3:J$80,"="&amp;'verif-jurys'!$C61)-K15</f>
        <v>0</v>
      </c>
      <c r="L61" s="4">
        <f>COUNTIF(SISR!L$3:L$80,"="&amp;'verif-jurys'!$C61)-L15</f>
        <v>0</v>
      </c>
      <c r="M61" s="4">
        <f>COUNTIF(SLAM!L$3:L$80,"="&amp;'verif-jurys'!$C61)-M15</f>
        <v>0</v>
      </c>
      <c r="N61" s="4">
        <f>COUNTIF(SISR!N$3:N$80,"="&amp;'verif-jurys'!$C61)-N15</f>
        <v>0</v>
      </c>
      <c r="O61" s="4">
        <f>COUNTIF(SLAM!N$3:N$80,"="&amp;'verif-jurys'!$C61)-O15</f>
        <v>0</v>
      </c>
      <c r="P61" s="4">
        <f>COUNTIF(SISR!P$3:P$80,"="&amp;'verif-jurys'!$C61)-P15</f>
        <v>0</v>
      </c>
      <c r="Q61" s="4">
        <f>COUNTIF(SLAM!P$3:P$80,"="&amp;'verif-jurys'!$C61)-Q15</f>
        <v>0</v>
      </c>
      <c r="R61" s="4">
        <f>COUNTIF(SISR!R$3:R$80,"="&amp;'verif-jurys'!$C61)-R15</f>
        <v>0</v>
      </c>
      <c r="S61" s="4">
        <f>COUNTIF(SLAM!R$3:R$80,"="&amp;'verif-jurys'!$C61)-S15</f>
        <v>0</v>
      </c>
      <c r="T61" s="4">
        <f>COUNTIF(SISR!T$3:T$80,"="&amp;'verif-jurys'!$C61)-T15</f>
        <v>0</v>
      </c>
      <c r="U61" s="4">
        <f>COUNTIF(SLAM!T$3:T$80,"="&amp;'verif-jurys'!$C61)-U15</f>
        <v>0</v>
      </c>
      <c r="V61" s="4">
        <f>COUNTIF(SISR!V$3:V$80,"="&amp;'verif-jurys'!$C61)-V15</f>
        <v>0</v>
      </c>
      <c r="W61" s="4">
        <f>COUNTIF(SLAM!V$3:V$80,"="&amp;'verif-jurys'!$C61)-W15</f>
        <v>0</v>
      </c>
      <c r="X61" s="4">
        <f>COUNTIF(SISR!X$3:X$80,"="&amp;'verif-jurys'!$C61)-X15</f>
        <v>0</v>
      </c>
      <c r="Y61" s="4">
        <f>COUNTIF(SLAM!X$3:X$80,"="&amp;'verif-jurys'!$C61)-Y15</f>
        <v>0</v>
      </c>
      <c r="Z61" s="4">
        <f>COUNTIF(SISR!Z$3:Z$80,"="&amp;'verif-jurys'!$C61)-Z15</f>
        <v>0</v>
      </c>
      <c r="AA61" s="4">
        <f>COUNTIF(SLAM!Z$3:Z$80,"="&amp;'verif-jurys'!$C61)-AA15</f>
        <v>0</v>
      </c>
      <c r="AB61" s="4">
        <f>COUNTIF(SISR!AB$3:AB$80,"="&amp;'verif-jurys'!$C61)-AB15</f>
        <v>0</v>
      </c>
      <c r="AC61" s="4">
        <f>COUNTIF(SLAM!AB$3:AB$80,"="&amp;'verif-jurys'!$C61)-AC15</f>
        <v>0</v>
      </c>
      <c r="AD61" s="4">
        <f>COUNTIF(SISR!AD$3:AD$80,"="&amp;'verif-jurys'!$C61)-AD15</f>
        <v>0</v>
      </c>
      <c r="AE61" s="4">
        <f>COUNTIF(SLAM!AD$3:AD$80,"="&amp;'verif-jurys'!$C61)-AE15</f>
        <v>0</v>
      </c>
      <c r="AF61" s="4">
        <f>COUNTIF(SISR!AF$3:AF$80,"="&amp;'verif-jurys'!$C61)-AF15</f>
        <v>0</v>
      </c>
      <c r="AG61" s="4">
        <f>COUNTIF(SLAM!AF$3:AF$80,"="&amp;'verif-jurys'!$C61)-AG15</f>
        <v>0</v>
      </c>
      <c r="AH61" s="4">
        <f>COUNTIF(SISR!AH$3:AH$80,"="&amp;'verif-jurys'!$C61)-AH15</f>
        <v>0</v>
      </c>
      <c r="AI61" s="4">
        <f>COUNTIF(SLAM!AH$3:AH$80,"="&amp;'verif-jurys'!$C61)-AI15</f>
        <v>0</v>
      </c>
      <c r="AJ61" s="4">
        <f>COUNTIF(SISR!AJ$3:AJ$80,"="&amp;'verif-jurys'!$C61)-AJ15</f>
        <v>0</v>
      </c>
      <c r="AK61" s="4">
        <f>COUNTIF(SLAM!AJ$3:AJ$80,"="&amp;'verif-jurys'!$C61)-AK15</f>
        <v>0</v>
      </c>
      <c r="AL61" s="4" t="e">
        <f>COUNTIF(SISR!AL$3:AL$80,"="&amp;'verif-jurys'!$C61)-AL15</f>
        <v>#REF!</v>
      </c>
      <c r="AM61" s="4" t="e">
        <f>COUNTIF(SLAM!AL$3:AL$80,"="&amp;'verif-jurys'!$C61)-AM15</f>
        <v>#REF!</v>
      </c>
      <c r="AN61" s="4" t="e">
        <f>COUNTIF(SISR!AN$3:AN$80,"="&amp;'verif-jurys'!$C61)-AN15</f>
        <v>#REF!</v>
      </c>
      <c r="AO61" s="4" t="e">
        <f>COUNTIF(SLAM!AN$3:AN$80,"="&amp;'verif-jurys'!$C61)-AO15</f>
        <v>#REF!</v>
      </c>
    </row>
    <row r="62" spans="3:41" x14ac:dyDescent="0.25">
      <c r="C62" s="4" t="str">
        <f>'E4-2016'!E15</f>
        <v>IPSS</v>
      </c>
      <c r="D62" s="4" t="str">
        <f>'E4-2016'!B15</f>
        <v>IPSSI</v>
      </c>
      <c r="E62" s="4" t="str">
        <f>'E4-2016'!D15</f>
        <v>0755724P</v>
      </c>
      <c r="F62" s="4">
        <f>COUNTIF(SISR!F$3:F$80,"="&amp;'verif-jurys'!$C62)-F16</f>
        <v>0</v>
      </c>
      <c r="G62" s="4">
        <f>COUNTIF(SLAM!F$3:F$80,"="&amp;'verif-jurys'!$C62)-G16</f>
        <v>0</v>
      </c>
      <c r="H62" s="4">
        <f>COUNTIF(SISR!H$3:H$80,"="&amp;'verif-jurys'!$C62)-H16</f>
        <v>0</v>
      </c>
      <c r="I62" s="4">
        <f>COUNTIF(SLAM!H$3:H$80,"="&amp;'verif-jurys'!$C62)-I16</f>
        <v>0</v>
      </c>
      <c r="J62" s="4">
        <f>COUNTIF(SISR!J$3:J$80,"="&amp;'verif-jurys'!$C62)-J16</f>
        <v>0</v>
      </c>
      <c r="K62" s="4">
        <f>COUNTIF(SLAM!J$3:J$80,"="&amp;'verif-jurys'!$C62)-K16</f>
        <v>0</v>
      </c>
      <c r="L62" s="4">
        <f>COUNTIF(SISR!L$3:L$80,"="&amp;'verif-jurys'!$C62)-L16</f>
        <v>0</v>
      </c>
      <c r="M62" s="4">
        <f>COUNTIF(SLAM!L$3:L$80,"="&amp;'verif-jurys'!$C62)-M16</f>
        <v>0</v>
      </c>
      <c r="N62" s="4">
        <f>COUNTIF(SISR!N$3:N$80,"="&amp;'verif-jurys'!$C62)-N16</f>
        <v>0</v>
      </c>
      <c r="O62" s="4">
        <f>COUNTIF(SLAM!N$3:N$80,"="&amp;'verif-jurys'!$C62)-O16</f>
        <v>0</v>
      </c>
      <c r="P62" s="4">
        <f>COUNTIF(SISR!P$3:P$80,"="&amp;'verif-jurys'!$C62)-P16</f>
        <v>0</v>
      </c>
      <c r="Q62" s="4">
        <f>COUNTIF(SLAM!P$3:P$80,"="&amp;'verif-jurys'!$C62)-Q16</f>
        <v>0</v>
      </c>
      <c r="R62" s="4">
        <f>COUNTIF(SISR!R$3:R$80,"="&amp;'verif-jurys'!$C62)-R16</f>
        <v>0</v>
      </c>
      <c r="S62" s="4">
        <f>COUNTIF(SLAM!R$3:R$80,"="&amp;'verif-jurys'!$C62)-S16</f>
        <v>0</v>
      </c>
      <c r="T62" s="4">
        <f>COUNTIF(SISR!T$3:T$80,"="&amp;'verif-jurys'!$C62)-T16</f>
        <v>0</v>
      </c>
      <c r="U62" s="4">
        <f>COUNTIF(SLAM!T$3:T$80,"="&amp;'verif-jurys'!$C62)-U16</f>
        <v>0</v>
      </c>
      <c r="V62" s="4">
        <f>COUNTIF(SISR!V$3:V$80,"="&amp;'verif-jurys'!$C62)-V16</f>
        <v>0</v>
      </c>
      <c r="W62" s="4">
        <f>COUNTIF(SLAM!V$3:V$80,"="&amp;'verif-jurys'!$C62)-W16</f>
        <v>0</v>
      </c>
      <c r="X62" s="4">
        <f>COUNTIF(SISR!X$3:X$80,"="&amp;'verif-jurys'!$C62)-X16</f>
        <v>0</v>
      </c>
      <c r="Y62" s="4">
        <f>COUNTIF(SLAM!X$3:X$80,"="&amp;'verif-jurys'!$C62)-Y16</f>
        <v>0</v>
      </c>
      <c r="Z62" s="4">
        <f>COUNTIF(SISR!Z$3:Z$80,"="&amp;'verif-jurys'!$C62)-Z16</f>
        <v>0</v>
      </c>
      <c r="AA62" s="4">
        <f>COUNTIF(SLAM!Z$3:Z$80,"="&amp;'verif-jurys'!$C62)-AA16</f>
        <v>0</v>
      </c>
      <c r="AB62" s="4">
        <f>COUNTIF(SISR!AB$3:AB$80,"="&amp;'verif-jurys'!$C62)-AB16</f>
        <v>0</v>
      </c>
      <c r="AC62" s="4">
        <f>COUNTIF(SLAM!AB$3:AB$80,"="&amp;'verif-jurys'!$C62)-AC16</f>
        <v>0</v>
      </c>
      <c r="AD62" s="4">
        <f>COUNTIF(SISR!AD$3:AD$80,"="&amp;'verif-jurys'!$C62)-AD16</f>
        <v>0</v>
      </c>
      <c r="AE62" s="4">
        <f>COUNTIF(SLAM!AD$3:AD$80,"="&amp;'verif-jurys'!$C62)-AE16</f>
        <v>0</v>
      </c>
      <c r="AF62" s="4">
        <f>COUNTIF(SISR!AF$3:AF$80,"="&amp;'verif-jurys'!$C62)-AF16</f>
        <v>0</v>
      </c>
      <c r="AG62" s="4">
        <f>COUNTIF(SLAM!AF$3:AF$80,"="&amp;'verif-jurys'!$C62)-AG16</f>
        <v>0</v>
      </c>
      <c r="AH62" s="4">
        <f>COUNTIF(SISR!AH$3:AH$80,"="&amp;'verif-jurys'!$C62)-AH16</f>
        <v>0</v>
      </c>
      <c r="AI62" s="4">
        <f>COUNTIF(SLAM!AH$3:AH$80,"="&amp;'verif-jurys'!$C62)-AI16</f>
        <v>0</v>
      </c>
      <c r="AJ62" s="4">
        <f>COUNTIF(SISR!AJ$3:AJ$80,"="&amp;'verif-jurys'!$C62)-AJ16</f>
        <v>0</v>
      </c>
      <c r="AK62" s="4">
        <f>COUNTIF(SLAM!AJ$3:AJ$80,"="&amp;'verif-jurys'!$C62)-AK16</f>
        <v>0</v>
      </c>
      <c r="AL62" s="4" t="e">
        <f>COUNTIF(SISR!AL$3:AL$80,"="&amp;'verif-jurys'!$C62)-AL16</f>
        <v>#REF!</v>
      </c>
      <c r="AM62" s="4" t="e">
        <f>COUNTIF(SLAM!AL$3:AL$80,"="&amp;'verif-jurys'!$C62)-AM16</f>
        <v>#REF!</v>
      </c>
      <c r="AN62" s="4" t="e">
        <f>COUNTIF(SISR!AN$3:AN$80,"="&amp;'verif-jurys'!$C62)-AN16</f>
        <v>#REF!</v>
      </c>
      <c r="AO62" s="4" t="e">
        <f>COUNTIF(SLAM!AN$3:AN$80,"="&amp;'verif-jurys'!$C62)-AO16</f>
        <v>#REF!</v>
      </c>
    </row>
    <row r="63" spans="3:41" x14ac:dyDescent="0.25">
      <c r="C63" s="4" t="str">
        <f>'E4-2016'!E16</f>
        <v>IRIS</v>
      </c>
      <c r="D63" s="4" t="str">
        <f>'E4-2016'!B16</f>
        <v>IRIS</v>
      </c>
      <c r="E63" s="4" t="str">
        <f>'E4-2016'!D16</f>
        <v>0755748R</v>
      </c>
      <c r="F63" s="4">
        <f>COUNTIF(SISR!F$3:F$80,"="&amp;'verif-jurys'!$C63)-F17</f>
        <v>0</v>
      </c>
      <c r="G63" s="4">
        <f>COUNTIF(SLAM!F$3:F$80,"="&amp;'verif-jurys'!$C63)-G17</f>
        <v>0</v>
      </c>
      <c r="H63" s="4">
        <f>COUNTIF(SISR!H$3:H$80,"="&amp;'verif-jurys'!$C63)-H17</f>
        <v>0</v>
      </c>
      <c r="I63" s="4">
        <f>COUNTIF(SLAM!H$3:H$80,"="&amp;'verif-jurys'!$C63)-I17</f>
        <v>0</v>
      </c>
      <c r="J63" s="4">
        <f>COUNTIF(SISR!J$3:J$80,"="&amp;'verif-jurys'!$C63)-J17</f>
        <v>0</v>
      </c>
      <c r="K63" s="4">
        <f>COUNTIF(SLAM!J$3:J$80,"="&amp;'verif-jurys'!$C63)-K17</f>
        <v>0</v>
      </c>
      <c r="L63" s="4">
        <f>COUNTIF(SISR!L$3:L$80,"="&amp;'verif-jurys'!$C63)-L17</f>
        <v>0</v>
      </c>
      <c r="M63" s="4">
        <f>COUNTIF(SLAM!L$3:L$80,"="&amp;'verif-jurys'!$C63)-M17</f>
        <v>0</v>
      </c>
      <c r="N63" s="4">
        <f>COUNTIF(SISR!N$3:N$80,"="&amp;'verif-jurys'!$C63)-N17</f>
        <v>0</v>
      </c>
      <c r="O63" s="4">
        <f>COUNTIF(SLAM!N$3:N$80,"="&amp;'verif-jurys'!$C63)-O17</f>
        <v>0</v>
      </c>
      <c r="P63" s="4">
        <f>COUNTIF(SISR!P$3:P$80,"="&amp;'verif-jurys'!$C63)-P17</f>
        <v>0</v>
      </c>
      <c r="Q63" s="4">
        <f>COUNTIF(SLAM!P$3:P$80,"="&amp;'verif-jurys'!$C63)-Q17</f>
        <v>0</v>
      </c>
      <c r="R63" s="4">
        <f>COUNTIF(SISR!R$3:R$80,"="&amp;'verif-jurys'!$C63)-R17</f>
        <v>0</v>
      </c>
      <c r="S63" s="4">
        <f>COUNTIF(SLAM!R$3:R$80,"="&amp;'verif-jurys'!$C63)-S17</f>
        <v>0</v>
      </c>
      <c r="T63" s="4">
        <f>COUNTIF(SISR!T$3:T$80,"="&amp;'verif-jurys'!$C63)-T17</f>
        <v>0</v>
      </c>
      <c r="U63" s="4">
        <f>COUNTIF(SLAM!T$3:T$80,"="&amp;'verif-jurys'!$C63)-U17</f>
        <v>0</v>
      </c>
      <c r="V63" s="4">
        <f>COUNTIF(SISR!V$3:V$80,"="&amp;'verif-jurys'!$C63)-V17</f>
        <v>0</v>
      </c>
      <c r="W63" s="4">
        <f>COUNTIF(SLAM!V$3:V$80,"="&amp;'verif-jurys'!$C63)-W17</f>
        <v>0</v>
      </c>
      <c r="X63" s="4">
        <f>COUNTIF(SISR!X$3:X$80,"="&amp;'verif-jurys'!$C63)-X17</f>
        <v>0</v>
      </c>
      <c r="Y63" s="4">
        <f>COUNTIF(SLAM!X$3:X$80,"="&amp;'verif-jurys'!$C63)-Y17</f>
        <v>0</v>
      </c>
      <c r="Z63" s="4">
        <f>COUNTIF(SISR!Z$3:Z$80,"="&amp;'verif-jurys'!$C63)-Z17</f>
        <v>0</v>
      </c>
      <c r="AA63" s="4">
        <f>COUNTIF(SLAM!Z$3:Z$80,"="&amp;'verif-jurys'!$C63)-AA17</f>
        <v>0</v>
      </c>
      <c r="AB63" s="4">
        <f>COUNTIF(SISR!AB$3:AB$80,"="&amp;'verif-jurys'!$C63)-AB17</f>
        <v>0</v>
      </c>
      <c r="AC63" s="4">
        <f>COUNTIF(SLAM!AB$3:AB$80,"="&amp;'verif-jurys'!$C63)-AC17</f>
        <v>0</v>
      </c>
      <c r="AD63" s="4">
        <f>COUNTIF(SISR!AD$3:AD$80,"="&amp;'verif-jurys'!$C63)-AD17</f>
        <v>0</v>
      </c>
      <c r="AE63" s="4">
        <f>COUNTIF(SLAM!AD$3:AD$80,"="&amp;'verif-jurys'!$C63)-AE17</f>
        <v>0</v>
      </c>
      <c r="AF63" s="4">
        <f>COUNTIF(SISR!AF$3:AF$80,"="&amp;'verif-jurys'!$C63)-AF17</f>
        <v>0</v>
      </c>
      <c r="AG63" s="4">
        <f>COUNTIF(SLAM!AF$3:AF$80,"="&amp;'verif-jurys'!$C63)-AG17</f>
        <v>0</v>
      </c>
      <c r="AH63" s="4">
        <f>COUNTIF(SISR!AH$3:AH$80,"="&amp;'verif-jurys'!$C63)-AH17</f>
        <v>0</v>
      </c>
      <c r="AI63" s="4">
        <f>COUNTIF(SLAM!AH$3:AH$80,"="&amp;'verif-jurys'!$C63)-AI17</f>
        <v>0</v>
      </c>
      <c r="AJ63" s="4">
        <f>COUNTIF(SISR!AJ$3:AJ$80,"="&amp;'verif-jurys'!$C63)-AJ17</f>
        <v>-1</v>
      </c>
      <c r="AK63" s="4">
        <f>COUNTIF(SLAM!AJ$3:AJ$80,"="&amp;'verif-jurys'!$C63)-AK17</f>
        <v>-1</v>
      </c>
      <c r="AL63" s="4" t="e">
        <f>COUNTIF(SISR!AL$3:AL$80,"="&amp;'verif-jurys'!$C63)-AL17</f>
        <v>#REF!</v>
      </c>
      <c r="AM63" s="4" t="e">
        <f>COUNTIF(SLAM!AL$3:AL$80,"="&amp;'verif-jurys'!$C63)-AM17</f>
        <v>#REF!</v>
      </c>
      <c r="AN63" s="4" t="e">
        <f>COUNTIF(SISR!AN$3:AN$80,"="&amp;'verif-jurys'!$C63)-AN17</f>
        <v>#REF!</v>
      </c>
      <c r="AO63" s="4" t="e">
        <f>COUNTIF(SLAM!AN$3:AN$80,"="&amp;'verif-jurys'!$C63)-AO17</f>
        <v>#REF!</v>
      </c>
    </row>
    <row r="64" spans="3:41" x14ac:dyDescent="0.25">
      <c r="C64" s="4" t="str">
        <f>'E4-2016'!E17</f>
        <v>APEP</v>
      </c>
      <c r="D64" s="4" t="str">
        <f>'E4-2016'!B17</f>
        <v>APEP SUP</v>
      </c>
      <c r="E64" s="4" t="str">
        <f>'E4-2016'!D17</f>
        <v>0755775V</v>
      </c>
      <c r="F64" s="4">
        <f>COUNTIF(SISR!F$3:F$80,"="&amp;'verif-jurys'!$C64)-F18</f>
        <v>0</v>
      </c>
      <c r="G64" s="4">
        <f>COUNTIF(SLAM!F$3:F$80,"="&amp;'verif-jurys'!$C64)-G18</f>
        <v>0</v>
      </c>
      <c r="H64" s="4">
        <f>COUNTIF(SISR!H$3:H$80,"="&amp;'verif-jurys'!$C64)-H18</f>
        <v>0</v>
      </c>
      <c r="I64" s="4">
        <f>COUNTIF(SLAM!H$3:H$80,"="&amp;'verif-jurys'!$C64)-I18</f>
        <v>0</v>
      </c>
      <c r="J64" s="4">
        <f>COUNTIF(SISR!J$3:J$80,"="&amp;'verif-jurys'!$C64)-J18</f>
        <v>0</v>
      </c>
      <c r="K64" s="4">
        <f>COUNTIF(SLAM!J$3:J$80,"="&amp;'verif-jurys'!$C64)-K18</f>
        <v>0</v>
      </c>
      <c r="L64" s="4">
        <f>COUNTIF(SISR!L$3:L$80,"="&amp;'verif-jurys'!$C64)-L18</f>
        <v>0</v>
      </c>
      <c r="M64" s="4">
        <f>COUNTIF(SLAM!L$3:L$80,"="&amp;'verif-jurys'!$C64)-M18</f>
        <v>0</v>
      </c>
      <c r="N64" s="4">
        <f>COUNTIF(SISR!N$3:N$80,"="&amp;'verif-jurys'!$C64)-N18</f>
        <v>0</v>
      </c>
      <c r="O64" s="4">
        <f>COUNTIF(SLAM!N$3:N$80,"="&amp;'verif-jurys'!$C64)-O18</f>
        <v>0</v>
      </c>
      <c r="P64" s="4">
        <f>COUNTIF(SISR!P$3:P$80,"="&amp;'verif-jurys'!$C64)-P18</f>
        <v>0</v>
      </c>
      <c r="Q64" s="4">
        <f>COUNTIF(SLAM!P$3:P$80,"="&amp;'verif-jurys'!$C64)-Q18</f>
        <v>0</v>
      </c>
      <c r="R64" s="4">
        <f>COUNTIF(SISR!R$3:R$80,"="&amp;'verif-jurys'!$C64)-R18</f>
        <v>0</v>
      </c>
      <c r="S64" s="4">
        <f>COUNTIF(SLAM!R$3:R$80,"="&amp;'verif-jurys'!$C64)-S18</f>
        <v>0</v>
      </c>
      <c r="T64" s="4">
        <f>COUNTIF(SISR!T$3:T$80,"="&amp;'verif-jurys'!$C64)-T18</f>
        <v>0</v>
      </c>
      <c r="U64" s="4">
        <f>COUNTIF(SLAM!T$3:T$80,"="&amp;'verif-jurys'!$C64)-U18</f>
        <v>0</v>
      </c>
      <c r="V64" s="4">
        <f>COUNTIF(SISR!V$3:V$80,"="&amp;'verif-jurys'!$C64)-V18</f>
        <v>0</v>
      </c>
      <c r="W64" s="4">
        <f>COUNTIF(SLAM!V$3:V$80,"="&amp;'verif-jurys'!$C64)-W18</f>
        <v>0</v>
      </c>
      <c r="X64" s="4">
        <f>COUNTIF(SISR!X$3:X$80,"="&amp;'verif-jurys'!$C64)-X18</f>
        <v>0</v>
      </c>
      <c r="Y64" s="4">
        <f>COUNTIF(SLAM!X$3:X$80,"="&amp;'verif-jurys'!$C64)-Y18</f>
        <v>0</v>
      </c>
      <c r="Z64" s="4">
        <f>COUNTIF(SISR!Z$3:Z$80,"="&amp;'verif-jurys'!$C64)-Z18</f>
        <v>0</v>
      </c>
      <c r="AA64" s="4">
        <f>COUNTIF(SLAM!Z$3:Z$80,"="&amp;'verif-jurys'!$C64)-AA18</f>
        <v>0</v>
      </c>
      <c r="AB64" s="4">
        <f>COUNTIF(SISR!AB$3:AB$80,"="&amp;'verif-jurys'!$C64)-AB18</f>
        <v>0</v>
      </c>
      <c r="AC64" s="4">
        <f>COUNTIF(SLAM!AB$3:AB$80,"="&amp;'verif-jurys'!$C64)-AC18</f>
        <v>0</v>
      </c>
      <c r="AD64" s="4">
        <f>COUNTIF(SISR!AD$3:AD$80,"="&amp;'verif-jurys'!$C64)-AD18</f>
        <v>0</v>
      </c>
      <c r="AE64" s="4">
        <f>COUNTIF(SLAM!AD$3:AD$80,"="&amp;'verif-jurys'!$C64)-AE18</f>
        <v>0</v>
      </c>
      <c r="AF64" s="4">
        <f>COUNTIF(SISR!AF$3:AF$80,"="&amp;'verif-jurys'!$C64)-AF18</f>
        <v>0</v>
      </c>
      <c r="AG64" s="4">
        <f>COUNTIF(SLAM!AF$3:AF$80,"="&amp;'verif-jurys'!$C64)-AG18</f>
        <v>0</v>
      </c>
      <c r="AH64" s="4">
        <f>COUNTIF(SISR!AH$3:AH$80,"="&amp;'verif-jurys'!$C64)-AH18</f>
        <v>0</v>
      </c>
      <c r="AI64" s="4">
        <f>COUNTIF(SLAM!AH$3:AH$80,"="&amp;'verif-jurys'!$C64)-AI18</f>
        <v>0</v>
      </c>
      <c r="AJ64" s="4">
        <f>COUNTIF(SISR!AJ$3:AJ$80,"="&amp;'verif-jurys'!$C64)-AJ18</f>
        <v>0</v>
      </c>
      <c r="AK64" s="4">
        <f>COUNTIF(SLAM!AJ$3:AJ$80,"="&amp;'verif-jurys'!$C64)-AK18</f>
        <v>0</v>
      </c>
      <c r="AL64" s="4" t="e">
        <f>COUNTIF(SISR!AL$3:AL$80,"="&amp;'verif-jurys'!$C64)-AL18</f>
        <v>#REF!</v>
      </c>
      <c r="AM64" s="4" t="e">
        <f>COUNTIF(SLAM!AL$3:AL$80,"="&amp;'verif-jurys'!$C64)-AM18</f>
        <v>#REF!</v>
      </c>
      <c r="AN64" s="4" t="e">
        <f>COUNTIF(SISR!AN$3:AN$80,"="&amp;'verif-jurys'!$C64)-AN18</f>
        <v>#REF!</v>
      </c>
      <c r="AO64" s="4" t="e">
        <f>COUNTIF(SLAM!AN$3:AN$80,"="&amp;'verif-jurys'!$C64)-AO18</f>
        <v>#REF!</v>
      </c>
    </row>
    <row r="65" spans="3:41" x14ac:dyDescent="0.25">
      <c r="C65" s="4" t="str">
        <f>'E4-2016'!E18</f>
        <v>ADG</v>
      </c>
      <c r="D65" s="4" t="str">
        <f>'E4-2016'!B18</f>
        <v>ADG</v>
      </c>
      <c r="E65" s="4" t="str">
        <f>'E4-2016'!D18</f>
        <v>0755827B</v>
      </c>
      <c r="F65" s="4">
        <f>COUNTIF(SISR!F$3:F$80,"="&amp;'verif-jurys'!$C65)-F19</f>
        <v>0</v>
      </c>
      <c r="G65" s="4">
        <f>COUNTIF(SLAM!F$3:F$80,"="&amp;'verif-jurys'!$C65)-G19</f>
        <v>0</v>
      </c>
      <c r="H65" s="4">
        <f>COUNTIF(SISR!H$3:H$80,"="&amp;'verif-jurys'!$C65)-H19</f>
        <v>0</v>
      </c>
      <c r="I65" s="4">
        <f>COUNTIF(SLAM!H$3:H$80,"="&amp;'verif-jurys'!$C65)-I19</f>
        <v>0</v>
      </c>
      <c r="J65" s="4">
        <f>COUNTIF(SISR!J$3:J$80,"="&amp;'verif-jurys'!$C65)-J19</f>
        <v>0</v>
      </c>
      <c r="K65" s="4">
        <f>COUNTIF(SLAM!J$3:J$80,"="&amp;'verif-jurys'!$C65)-K19</f>
        <v>0</v>
      </c>
      <c r="L65" s="4">
        <f>COUNTIF(SISR!L$3:L$80,"="&amp;'verif-jurys'!$C65)-L19</f>
        <v>0</v>
      </c>
      <c r="M65" s="4">
        <f>COUNTIF(SLAM!L$3:L$80,"="&amp;'verif-jurys'!$C65)-M19</f>
        <v>0</v>
      </c>
      <c r="N65" s="4">
        <f>COUNTIF(SISR!N$3:N$80,"="&amp;'verif-jurys'!$C65)-N19</f>
        <v>0</v>
      </c>
      <c r="O65" s="4">
        <f>COUNTIF(SLAM!N$3:N$80,"="&amp;'verif-jurys'!$C65)-O19</f>
        <v>0</v>
      </c>
      <c r="P65" s="4">
        <f>COUNTIF(SISR!P$3:P$80,"="&amp;'verif-jurys'!$C65)-P19</f>
        <v>0</v>
      </c>
      <c r="Q65" s="4">
        <f>COUNTIF(SLAM!P$3:P$80,"="&amp;'verif-jurys'!$C65)-Q19</f>
        <v>0</v>
      </c>
      <c r="R65" s="4">
        <f>COUNTIF(SISR!R$3:R$80,"="&amp;'verif-jurys'!$C65)-R19</f>
        <v>0</v>
      </c>
      <c r="S65" s="4">
        <f>COUNTIF(SLAM!R$3:R$80,"="&amp;'verif-jurys'!$C65)-S19</f>
        <v>0</v>
      </c>
      <c r="T65" s="4">
        <f>COUNTIF(SISR!T$3:T$80,"="&amp;'verif-jurys'!$C65)-T19</f>
        <v>0</v>
      </c>
      <c r="U65" s="4">
        <f>COUNTIF(SLAM!T$3:T$80,"="&amp;'verif-jurys'!$C65)-U19</f>
        <v>0</v>
      </c>
      <c r="V65" s="4">
        <f>COUNTIF(SISR!V$3:V$80,"="&amp;'verif-jurys'!$C65)-V19</f>
        <v>0</v>
      </c>
      <c r="W65" s="4">
        <f>COUNTIF(SLAM!V$3:V$80,"="&amp;'verif-jurys'!$C65)-W19</f>
        <v>0</v>
      </c>
      <c r="X65" s="4">
        <f>COUNTIF(SISR!X$3:X$80,"="&amp;'verif-jurys'!$C65)-X19</f>
        <v>0</v>
      </c>
      <c r="Y65" s="4">
        <f>COUNTIF(SLAM!X$3:X$80,"="&amp;'verif-jurys'!$C65)-Y19</f>
        <v>0</v>
      </c>
      <c r="Z65" s="4">
        <f>COUNTIF(SISR!Z$3:Z$80,"="&amp;'verif-jurys'!$C65)-Z19</f>
        <v>0</v>
      </c>
      <c r="AA65" s="4">
        <f>COUNTIF(SLAM!Z$3:Z$80,"="&amp;'verif-jurys'!$C65)-AA19</f>
        <v>0</v>
      </c>
      <c r="AB65" s="4">
        <f>COUNTIF(SISR!AB$3:AB$80,"="&amp;'verif-jurys'!$C65)-AB19</f>
        <v>0</v>
      </c>
      <c r="AC65" s="4">
        <f>COUNTIF(SLAM!AB$3:AB$80,"="&amp;'verif-jurys'!$C65)-AC19</f>
        <v>0</v>
      </c>
      <c r="AD65" s="4">
        <f>COUNTIF(SISR!AD$3:AD$80,"="&amp;'verif-jurys'!$C65)-AD19</f>
        <v>0</v>
      </c>
      <c r="AE65" s="4">
        <f>COUNTIF(SLAM!AD$3:AD$80,"="&amp;'verif-jurys'!$C65)-AE19</f>
        <v>0</v>
      </c>
      <c r="AF65" s="4">
        <f>COUNTIF(SISR!AF$3:AF$80,"="&amp;'verif-jurys'!$C65)-AF19</f>
        <v>0</v>
      </c>
      <c r="AG65" s="4">
        <f>COUNTIF(SLAM!AF$3:AF$80,"="&amp;'verif-jurys'!$C65)-AG19</f>
        <v>0</v>
      </c>
      <c r="AH65" s="4">
        <f>COUNTIF(SISR!AH$3:AH$80,"="&amp;'verif-jurys'!$C65)-AH19</f>
        <v>0</v>
      </c>
      <c r="AI65" s="4">
        <f>COUNTIF(SLAM!AH$3:AH$80,"="&amp;'verif-jurys'!$C65)-AI19</f>
        <v>0</v>
      </c>
      <c r="AJ65" s="4">
        <f>COUNTIF(SISR!AJ$3:AJ$80,"="&amp;'verif-jurys'!$C65)-AJ19</f>
        <v>0</v>
      </c>
      <c r="AK65" s="4">
        <f>COUNTIF(SLAM!AJ$3:AJ$80,"="&amp;'verif-jurys'!$C65)-AK19</f>
        <v>0</v>
      </c>
      <c r="AL65" s="4" t="e">
        <f>COUNTIF(SISR!AL$3:AL$80,"="&amp;'verif-jurys'!$C65)-AL19</f>
        <v>#REF!</v>
      </c>
      <c r="AM65" s="4" t="e">
        <f>COUNTIF(SLAM!AL$3:AL$80,"="&amp;'verif-jurys'!$C65)-AM19</f>
        <v>#REF!</v>
      </c>
      <c r="AN65" s="4" t="e">
        <f>COUNTIF(SISR!AN$3:AN$80,"="&amp;'verif-jurys'!$C65)-AN19</f>
        <v>#REF!</v>
      </c>
      <c r="AO65" s="4" t="e">
        <f>COUNTIF(SLAM!AN$3:AN$80,"="&amp;'verif-jurys'!$C65)-AO19</f>
        <v>#REF!</v>
      </c>
    </row>
    <row r="66" spans="3:41" x14ac:dyDescent="0.25">
      <c r="C66" s="4" t="str">
        <f>'E4-2016'!E19</f>
        <v>INST</v>
      </c>
      <c r="D66" s="4" t="str">
        <f>'E4-2016'!B19</f>
        <v>INSTA Paris</v>
      </c>
      <c r="E66" s="4" t="str">
        <f>'E4-2016'!D19</f>
        <v>0755931P</v>
      </c>
      <c r="F66" s="4">
        <f>COUNTIF(SISR!F$3:F$80,"="&amp;'verif-jurys'!$C66)-F20</f>
        <v>0</v>
      </c>
      <c r="G66" s="4">
        <f>COUNTIF(SLAM!F$3:F$80,"="&amp;'verif-jurys'!$C66)-G20</f>
        <v>0</v>
      </c>
      <c r="H66" s="4">
        <f>COUNTIF(SISR!H$3:H$80,"="&amp;'verif-jurys'!$C66)-H20</f>
        <v>0</v>
      </c>
      <c r="I66" s="4">
        <f>COUNTIF(SLAM!H$3:H$80,"="&amp;'verif-jurys'!$C66)-I20</f>
        <v>0</v>
      </c>
      <c r="J66" s="4">
        <f>COUNTIF(SISR!J$3:J$80,"="&amp;'verif-jurys'!$C66)-J20</f>
        <v>0</v>
      </c>
      <c r="K66" s="4">
        <f>COUNTIF(SLAM!J$3:J$80,"="&amp;'verif-jurys'!$C66)-K20</f>
        <v>0</v>
      </c>
      <c r="L66" s="4">
        <f>COUNTIF(SISR!L$3:L$80,"="&amp;'verif-jurys'!$C66)-L20</f>
        <v>0</v>
      </c>
      <c r="M66" s="4">
        <f>COUNTIF(SLAM!L$3:L$80,"="&amp;'verif-jurys'!$C66)-M20</f>
        <v>0</v>
      </c>
      <c r="N66" s="4">
        <f>COUNTIF(SISR!N$3:N$80,"="&amp;'verif-jurys'!$C66)-N20</f>
        <v>0</v>
      </c>
      <c r="O66" s="4">
        <f>COUNTIF(SLAM!N$3:N$80,"="&amp;'verif-jurys'!$C66)-O20</f>
        <v>0</v>
      </c>
      <c r="P66" s="4">
        <f>COUNTIF(SISR!P$3:P$80,"="&amp;'verif-jurys'!$C66)-P20</f>
        <v>0</v>
      </c>
      <c r="Q66" s="4">
        <f>COUNTIF(SLAM!P$3:P$80,"="&amp;'verif-jurys'!$C66)-Q20</f>
        <v>0</v>
      </c>
      <c r="R66" s="4">
        <f>COUNTIF(SISR!R$3:R$80,"="&amp;'verif-jurys'!$C66)-R20</f>
        <v>0</v>
      </c>
      <c r="S66" s="4">
        <f>COUNTIF(SLAM!R$3:R$80,"="&amp;'verif-jurys'!$C66)-S20</f>
        <v>0</v>
      </c>
      <c r="T66" s="4">
        <f>COUNTIF(SISR!T$3:T$80,"="&amp;'verif-jurys'!$C66)-T20</f>
        <v>0</v>
      </c>
      <c r="U66" s="4">
        <f>COUNTIF(SLAM!T$3:T$80,"="&amp;'verif-jurys'!$C66)-U20</f>
        <v>0</v>
      </c>
      <c r="V66" s="4">
        <f>COUNTIF(SISR!V$3:V$80,"="&amp;'verif-jurys'!$C66)-V20</f>
        <v>0</v>
      </c>
      <c r="W66" s="4">
        <f>COUNTIF(SLAM!V$3:V$80,"="&amp;'verif-jurys'!$C66)-W20</f>
        <v>0</v>
      </c>
      <c r="X66" s="4">
        <f>COUNTIF(SISR!X$3:X$80,"="&amp;'verif-jurys'!$C66)-X20</f>
        <v>0</v>
      </c>
      <c r="Y66" s="4">
        <f>COUNTIF(SLAM!X$3:X$80,"="&amp;'verif-jurys'!$C66)-Y20</f>
        <v>0</v>
      </c>
      <c r="Z66" s="4">
        <f>COUNTIF(SISR!Z$3:Z$80,"="&amp;'verif-jurys'!$C66)-Z20</f>
        <v>0</v>
      </c>
      <c r="AA66" s="4">
        <f>COUNTIF(SLAM!Z$3:Z$80,"="&amp;'verif-jurys'!$C66)-AA20</f>
        <v>0</v>
      </c>
      <c r="AB66" s="4">
        <f>COUNTIF(SISR!AB$3:AB$80,"="&amp;'verif-jurys'!$C66)-AB20</f>
        <v>0</v>
      </c>
      <c r="AC66" s="4">
        <f>COUNTIF(SLAM!AB$3:AB$80,"="&amp;'verif-jurys'!$C66)-AC20</f>
        <v>0</v>
      </c>
      <c r="AD66" s="4">
        <f>COUNTIF(SISR!AD$3:AD$80,"="&amp;'verif-jurys'!$C66)-AD20</f>
        <v>0</v>
      </c>
      <c r="AE66" s="4">
        <f>COUNTIF(SLAM!AD$3:AD$80,"="&amp;'verif-jurys'!$C66)-AE20</f>
        <v>0</v>
      </c>
      <c r="AF66" s="4">
        <f>COUNTIF(SISR!AF$3:AF$80,"="&amp;'verif-jurys'!$C66)-AF20</f>
        <v>0</v>
      </c>
      <c r="AG66" s="4">
        <f>COUNTIF(SLAM!AF$3:AF$80,"="&amp;'verif-jurys'!$C66)-AG20</f>
        <v>0</v>
      </c>
      <c r="AH66" s="4">
        <f>COUNTIF(SISR!AH$3:AH$80,"="&amp;'verif-jurys'!$C66)-AH20</f>
        <v>0</v>
      </c>
      <c r="AI66" s="4">
        <f>COUNTIF(SLAM!AH$3:AH$80,"="&amp;'verif-jurys'!$C66)-AI20</f>
        <v>0</v>
      </c>
      <c r="AJ66" s="4">
        <f>COUNTIF(SISR!AJ$3:AJ$80,"="&amp;'verif-jurys'!$C66)-AJ20</f>
        <v>0</v>
      </c>
      <c r="AK66" s="4">
        <f>COUNTIF(SLAM!AJ$3:AJ$80,"="&amp;'verif-jurys'!$C66)-AK20</f>
        <v>0</v>
      </c>
      <c r="AL66" s="4" t="e">
        <f>COUNTIF(SISR!AL$3:AL$80,"="&amp;'verif-jurys'!$C66)-AL20</f>
        <v>#REF!</v>
      </c>
      <c r="AM66" s="4" t="e">
        <f>COUNTIF(SLAM!AL$3:AL$80,"="&amp;'verif-jurys'!$C66)-AM20</f>
        <v>#REF!</v>
      </c>
      <c r="AN66" s="4" t="e">
        <f>COUNTIF(SISR!AN$3:AN$80,"="&amp;'verif-jurys'!$C66)-AN20</f>
        <v>#REF!</v>
      </c>
      <c r="AO66" s="4" t="e">
        <f>COUNTIF(SLAM!AN$3:AN$80,"="&amp;'verif-jurys'!$C66)-AO20</f>
        <v>#REF!</v>
      </c>
    </row>
    <row r="67" spans="3:41" x14ac:dyDescent="0.25">
      <c r="C67" s="4" t="str">
        <f>'E4-2016'!E20</f>
        <v>INGT</v>
      </c>
      <c r="D67" s="4" t="str">
        <f>'E4-2016'!B20</f>
        <v>INGETIS Paris</v>
      </c>
      <c r="E67" s="4" t="str">
        <f>'E4-2016'!D20</f>
        <v>0755934T</v>
      </c>
      <c r="F67" s="4">
        <f>COUNTIF(SISR!F$3:F$80,"="&amp;'verif-jurys'!$C67)-F21</f>
        <v>0</v>
      </c>
      <c r="G67" s="4">
        <f>COUNTIF(SLAM!F$3:F$80,"="&amp;'verif-jurys'!$C67)-G21</f>
        <v>0</v>
      </c>
      <c r="H67" s="4">
        <f>COUNTIF(SISR!H$3:H$80,"="&amp;'verif-jurys'!$C67)-H21</f>
        <v>0</v>
      </c>
      <c r="I67" s="4">
        <f>COUNTIF(SLAM!H$3:H$80,"="&amp;'verif-jurys'!$C67)-I21</f>
        <v>0</v>
      </c>
      <c r="J67" s="4">
        <f>COUNTIF(SISR!J$3:J$80,"="&amp;'verif-jurys'!$C67)-J21</f>
        <v>0</v>
      </c>
      <c r="K67" s="4">
        <f>COUNTIF(SLAM!J$3:J$80,"="&amp;'verif-jurys'!$C67)-K21</f>
        <v>0</v>
      </c>
      <c r="L67" s="4">
        <f>COUNTIF(SISR!L$3:L$80,"="&amp;'verif-jurys'!$C67)-L21</f>
        <v>0</v>
      </c>
      <c r="M67" s="4">
        <f>COUNTIF(SLAM!L$3:L$80,"="&amp;'verif-jurys'!$C67)-M21</f>
        <v>0</v>
      </c>
      <c r="N67" s="4">
        <f>COUNTIF(SISR!N$3:N$80,"="&amp;'verif-jurys'!$C67)-N21</f>
        <v>-1</v>
      </c>
      <c r="O67" s="4">
        <f>COUNTIF(SLAM!N$3:N$80,"="&amp;'verif-jurys'!$C67)-O21</f>
        <v>-1</v>
      </c>
      <c r="P67" s="4">
        <f>COUNTIF(SISR!P$3:P$80,"="&amp;'verif-jurys'!$C67)-P21</f>
        <v>0</v>
      </c>
      <c r="Q67" s="4">
        <f>COUNTIF(SLAM!P$3:P$80,"="&amp;'verif-jurys'!$C67)-Q21</f>
        <v>0</v>
      </c>
      <c r="R67" s="4">
        <f>COUNTIF(SISR!R$3:R$80,"="&amp;'verif-jurys'!$C67)-R21</f>
        <v>0</v>
      </c>
      <c r="S67" s="4">
        <f>COUNTIF(SLAM!R$3:R$80,"="&amp;'verif-jurys'!$C67)-S21</f>
        <v>0</v>
      </c>
      <c r="T67" s="4">
        <f>COUNTIF(SISR!T$3:T$80,"="&amp;'verif-jurys'!$C67)-T21</f>
        <v>0</v>
      </c>
      <c r="U67" s="4">
        <f>COUNTIF(SLAM!T$3:T$80,"="&amp;'verif-jurys'!$C67)-U21</f>
        <v>0</v>
      </c>
      <c r="V67" s="4">
        <f>COUNTIF(SISR!V$3:V$80,"="&amp;'verif-jurys'!$C67)-V21</f>
        <v>0</v>
      </c>
      <c r="W67" s="4">
        <f>COUNTIF(SLAM!V$3:V$80,"="&amp;'verif-jurys'!$C67)-W21</f>
        <v>0</v>
      </c>
      <c r="X67" s="4">
        <f>COUNTIF(SISR!X$3:X$80,"="&amp;'verif-jurys'!$C67)-X21</f>
        <v>0</v>
      </c>
      <c r="Y67" s="4">
        <f>COUNTIF(SLAM!X$3:X$80,"="&amp;'verif-jurys'!$C67)-Y21</f>
        <v>0</v>
      </c>
      <c r="Z67" s="4">
        <f>COUNTIF(SISR!Z$3:Z$80,"="&amp;'verif-jurys'!$C67)-Z21</f>
        <v>0</v>
      </c>
      <c r="AA67" s="4">
        <f>COUNTIF(SLAM!Z$3:Z$80,"="&amp;'verif-jurys'!$C67)-AA21</f>
        <v>0</v>
      </c>
      <c r="AB67" s="4">
        <f>COUNTIF(SISR!AB$3:AB$80,"="&amp;'verif-jurys'!$C67)-AB21</f>
        <v>0</v>
      </c>
      <c r="AC67" s="4">
        <f>COUNTIF(SLAM!AB$3:AB$80,"="&amp;'verif-jurys'!$C67)-AC21</f>
        <v>0</v>
      </c>
      <c r="AD67" s="4">
        <f>COUNTIF(SISR!AD$3:AD$80,"="&amp;'verif-jurys'!$C67)-AD21</f>
        <v>0</v>
      </c>
      <c r="AE67" s="4">
        <f>COUNTIF(SLAM!AD$3:AD$80,"="&amp;'verif-jurys'!$C67)-AE21</f>
        <v>0</v>
      </c>
      <c r="AF67" s="4">
        <f>COUNTIF(SISR!AF$3:AF$80,"="&amp;'verif-jurys'!$C67)-AF21</f>
        <v>0</v>
      </c>
      <c r="AG67" s="4">
        <f>COUNTIF(SLAM!AF$3:AF$80,"="&amp;'verif-jurys'!$C67)-AG21</f>
        <v>0</v>
      </c>
      <c r="AH67" s="4">
        <f>COUNTIF(SISR!AH$3:AH$80,"="&amp;'verif-jurys'!$C67)-AH21</f>
        <v>0</v>
      </c>
      <c r="AI67" s="4">
        <f>COUNTIF(SLAM!AH$3:AH$80,"="&amp;'verif-jurys'!$C67)-AI21</f>
        <v>0</v>
      </c>
      <c r="AJ67" s="4">
        <f>COUNTIF(SISR!AJ$3:AJ$80,"="&amp;'verif-jurys'!$C67)-AJ21</f>
        <v>0</v>
      </c>
      <c r="AK67" s="4">
        <f>COUNTIF(SLAM!AJ$3:AJ$80,"="&amp;'verif-jurys'!$C67)-AK21</f>
        <v>0</v>
      </c>
      <c r="AL67" s="4" t="e">
        <f>COUNTIF(SISR!AL$3:AL$80,"="&amp;'verif-jurys'!$C67)-AL21</f>
        <v>#REF!</v>
      </c>
      <c r="AM67" s="4" t="e">
        <f>COUNTIF(SLAM!AL$3:AL$80,"="&amp;'verif-jurys'!$C67)-AM21</f>
        <v>#REF!</v>
      </c>
      <c r="AN67" s="4" t="e">
        <f>COUNTIF(SISR!AN$3:AN$80,"="&amp;'verif-jurys'!$C67)-AN21</f>
        <v>#REF!</v>
      </c>
      <c r="AO67" s="4" t="e">
        <f>COUNTIF(SLAM!AN$3:AN$80,"="&amp;'verif-jurys'!$C67)-AO21</f>
        <v>#REF!</v>
      </c>
    </row>
    <row r="68" spans="3:41" x14ac:dyDescent="0.25">
      <c r="C68" s="4" t="str">
        <f>'E4-2016'!E21</f>
        <v>SCHN</v>
      </c>
      <c r="D68" s="4" t="str">
        <f>'E4-2016'!B21</f>
        <v>SCHOLA NOVA</v>
      </c>
      <c r="E68" s="4" t="str">
        <f>'E4-2016'!D21</f>
        <v>0756002S</v>
      </c>
      <c r="F68" s="4">
        <f>COUNTIF(SISR!F$3:F$80,"="&amp;'verif-jurys'!$C68)-F22</f>
        <v>0</v>
      </c>
      <c r="G68" s="4">
        <f>COUNTIF(SLAM!F$3:F$80,"="&amp;'verif-jurys'!$C68)-G22</f>
        <v>0</v>
      </c>
      <c r="H68" s="4">
        <f>COUNTIF(SISR!H$3:H$80,"="&amp;'verif-jurys'!$C68)-H22</f>
        <v>0</v>
      </c>
      <c r="I68" s="4">
        <f>COUNTIF(SLAM!H$3:H$80,"="&amp;'verif-jurys'!$C68)-I22</f>
        <v>0</v>
      </c>
      <c r="J68" s="4">
        <f>COUNTIF(SISR!J$3:J$80,"="&amp;'verif-jurys'!$C68)-J22</f>
        <v>0</v>
      </c>
      <c r="K68" s="4">
        <f>COUNTIF(SLAM!J$3:J$80,"="&amp;'verif-jurys'!$C68)-K22</f>
        <v>0</v>
      </c>
      <c r="L68" s="4">
        <f>COUNTIF(SISR!L$3:L$80,"="&amp;'verif-jurys'!$C68)-L22</f>
        <v>0</v>
      </c>
      <c r="M68" s="4">
        <f>COUNTIF(SLAM!L$3:L$80,"="&amp;'verif-jurys'!$C68)-M22</f>
        <v>0</v>
      </c>
      <c r="N68" s="4">
        <f>COUNTIF(SISR!N$3:N$80,"="&amp;'verif-jurys'!$C68)-N22</f>
        <v>0</v>
      </c>
      <c r="O68" s="4">
        <f>COUNTIF(SLAM!N$3:N$80,"="&amp;'verif-jurys'!$C68)-O22</f>
        <v>0</v>
      </c>
      <c r="P68" s="4">
        <f>COUNTIF(SISR!P$3:P$80,"="&amp;'verif-jurys'!$C68)-P22</f>
        <v>0</v>
      </c>
      <c r="Q68" s="4">
        <f>COUNTIF(SLAM!P$3:P$80,"="&amp;'verif-jurys'!$C68)-Q22</f>
        <v>0</v>
      </c>
      <c r="R68" s="4">
        <f>COUNTIF(SISR!R$3:R$80,"="&amp;'verif-jurys'!$C68)-R22</f>
        <v>0</v>
      </c>
      <c r="S68" s="4">
        <f>COUNTIF(SLAM!R$3:R$80,"="&amp;'verif-jurys'!$C68)-S22</f>
        <v>0</v>
      </c>
      <c r="T68" s="4">
        <f>COUNTIF(SISR!T$3:T$80,"="&amp;'verif-jurys'!$C68)-T22</f>
        <v>0</v>
      </c>
      <c r="U68" s="4">
        <f>COUNTIF(SLAM!T$3:T$80,"="&amp;'verif-jurys'!$C68)-U22</f>
        <v>0</v>
      </c>
      <c r="V68" s="4">
        <f>COUNTIF(SISR!V$3:V$80,"="&amp;'verif-jurys'!$C68)-V22</f>
        <v>0</v>
      </c>
      <c r="W68" s="4">
        <f>COUNTIF(SLAM!V$3:V$80,"="&amp;'verif-jurys'!$C68)-W22</f>
        <v>0</v>
      </c>
      <c r="X68" s="4">
        <f>COUNTIF(SISR!X$3:X$80,"="&amp;'verif-jurys'!$C68)-X22</f>
        <v>0</v>
      </c>
      <c r="Y68" s="4">
        <f>COUNTIF(SLAM!X$3:X$80,"="&amp;'verif-jurys'!$C68)-Y22</f>
        <v>0</v>
      </c>
      <c r="Z68" s="4">
        <f>COUNTIF(SISR!Z$3:Z$80,"="&amp;'verif-jurys'!$C68)-Z22</f>
        <v>0</v>
      </c>
      <c r="AA68" s="4">
        <f>COUNTIF(SLAM!Z$3:Z$80,"="&amp;'verif-jurys'!$C68)-AA22</f>
        <v>0</v>
      </c>
      <c r="AB68" s="4">
        <f>COUNTIF(SISR!AB$3:AB$80,"="&amp;'verif-jurys'!$C68)-AB22</f>
        <v>0</v>
      </c>
      <c r="AC68" s="4">
        <f>COUNTIF(SLAM!AB$3:AB$80,"="&amp;'verif-jurys'!$C68)-AC22</f>
        <v>0</v>
      </c>
      <c r="AD68" s="4">
        <f>COUNTIF(SISR!AD$3:AD$80,"="&amp;'verif-jurys'!$C68)-AD22</f>
        <v>0</v>
      </c>
      <c r="AE68" s="4">
        <f>COUNTIF(SLAM!AD$3:AD$80,"="&amp;'verif-jurys'!$C68)-AE22</f>
        <v>0</v>
      </c>
      <c r="AF68" s="4">
        <f>COUNTIF(SISR!AF$3:AF$80,"="&amp;'verif-jurys'!$C68)-AF22</f>
        <v>0</v>
      </c>
      <c r="AG68" s="4">
        <f>COUNTIF(SLAM!AF$3:AF$80,"="&amp;'verif-jurys'!$C68)-AG22</f>
        <v>0</v>
      </c>
      <c r="AH68" s="4">
        <f>COUNTIF(SISR!AH$3:AH$80,"="&amp;'verif-jurys'!$C68)-AH22</f>
        <v>0</v>
      </c>
      <c r="AI68" s="4">
        <f>COUNTIF(SLAM!AH$3:AH$80,"="&amp;'verif-jurys'!$C68)-AI22</f>
        <v>0</v>
      </c>
      <c r="AJ68" s="4">
        <f>COUNTIF(SISR!AJ$3:AJ$80,"="&amp;'verif-jurys'!$C68)-AJ22</f>
        <v>0</v>
      </c>
      <c r="AK68" s="4">
        <f>COUNTIF(SLAM!AJ$3:AJ$80,"="&amp;'verif-jurys'!$C68)-AK22</f>
        <v>0</v>
      </c>
      <c r="AL68" s="4" t="e">
        <f>COUNTIF(SISR!AL$3:AL$80,"="&amp;'verif-jurys'!$C68)-AL22</f>
        <v>#REF!</v>
      </c>
      <c r="AM68" s="4" t="e">
        <f>COUNTIF(SLAM!AL$3:AL$80,"="&amp;'verif-jurys'!$C68)-AM22</f>
        <v>#REF!</v>
      </c>
      <c r="AN68" s="4" t="e">
        <f>COUNTIF(SISR!AN$3:AN$80,"="&amp;'verif-jurys'!$C68)-AN22</f>
        <v>#REF!</v>
      </c>
      <c r="AO68" s="4" t="e">
        <f>COUNTIF(SLAM!AN$3:AN$80,"="&amp;'verif-jurys'!$C68)-AO22</f>
        <v>#REF!</v>
      </c>
    </row>
    <row r="69" spans="3:41" x14ac:dyDescent="0.25">
      <c r="C69" s="4" t="str">
        <f>'E4-2016'!E22</f>
        <v>EURO</v>
      </c>
      <c r="D69" s="4" t="str">
        <f>'E4-2016'!B22</f>
        <v>EUROFORMA</v>
      </c>
      <c r="E69" s="4" t="str">
        <f>'E4-2016'!D22</f>
        <v>0756015F</v>
      </c>
      <c r="F69" s="4">
        <f>COUNTIF(SISR!F$3:F$80,"="&amp;'verif-jurys'!$C69)-F23</f>
        <v>0</v>
      </c>
      <c r="G69" s="4">
        <f>COUNTIF(SLAM!F$3:F$80,"="&amp;'verif-jurys'!$C69)-G23</f>
        <v>0</v>
      </c>
      <c r="H69" s="4">
        <f>COUNTIF(SISR!H$3:H$80,"="&amp;'verif-jurys'!$C69)-H23</f>
        <v>0</v>
      </c>
      <c r="I69" s="4">
        <f>COUNTIF(SLAM!H$3:H$80,"="&amp;'verif-jurys'!$C69)-I23</f>
        <v>0</v>
      </c>
      <c r="J69" s="4">
        <f>COUNTIF(SISR!J$3:J$80,"="&amp;'verif-jurys'!$C69)-J23</f>
        <v>0</v>
      </c>
      <c r="K69" s="4">
        <f>COUNTIF(SLAM!J$3:J$80,"="&amp;'verif-jurys'!$C69)-K23</f>
        <v>0</v>
      </c>
      <c r="L69" s="4">
        <f>COUNTIF(SISR!L$3:L$80,"="&amp;'verif-jurys'!$C69)-L23</f>
        <v>0</v>
      </c>
      <c r="M69" s="4">
        <f>COUNTIF(SLAM!L$3:L$80,"="&amp;'verif-jurys'!$C69)-M23</f>
        <v>0</v>
      </c>
      <c r="N69" s="4">
        <f>COUNTIF(SISR!N$3:N$80,"="&amp;'verif-jurys'!$C69)-N23</f>
        <v>0</v>
      </c>
      <c r="O69" s="4">
        <f>COUNTIF(SLAM!N$3:N$80,"="&amp;'verif-jurys'!$C69)-O23</f>
        <v>0</v>
      </c>
      <c r="P69" s="4">
        <f>COUNTIF(SISR!P$3:P$80,"="&amp;'verif-jurys'!$C69)-P23</f>
        <v>0</v>
      </c>
      <c r="Q69" s="4">
        <f>COUNTIF(SLAM!P$3:P$80,"="&amp;'verif-jurys'!$C69)-Q23</f>
        <v>0</v>
      </c>
      <c r="R69" s="4">
        <f>COUNTIF(SISR!R$3:R$80,"="&amp;'verif-jurys'!$C69)-R23</f>
        <v>0</v>
      </c>
      <c r="S69" s="4">
        <f>COUNTIF(SLAM!R$3:R$80,"="&amp;'verif-jurys'!$C69)-S23</f>
        <v>0</v>
      </c>
      <c r="T69" s="4">
        <f>COUNTIF(SISR!T$3:T$80,"="&amp;'verif-jurys'!$C69)-T23</f>
        <v>0</v>
      </c>
      <c r="U69" s="4">
        <f>COUNTIF(SLAM!T$3:T$80,"="&amp;'verif-jurys'!$C69)-U23</f>
        <v>0</v>
      </c>
      <c r="V69" s="4">
        <f>COUNTIF(SISR!V$3:V$80,"="&amp;'verif-jurys'!$C69)-V23</f>
        <v>0</v>
      </c>
      <c r="W69" s="4">
        <f>COUNTIF(SLAM!V$3:V$80,"="&amp;'verif-jurys'!$C69)-W23</f>
        <v>0</v>
      </c>
      <c r="X69" s="4">
        <f>COUNTIF(SISR!X$3:X$80,"="&amp;'verif-jurys'!$C69)-X23</f>
        <v>0</v>
      </c>
      <c r="Y69" s="4">
        <f>COUNTIF(SLAM!X$3:X$80,"="&amp;'verif-jurys'!$C69)-Y23</f>
        <v>0</v>
      </c>
      <c r="Z69" s="4">
        <f>COUNTIF(SISR!Z$3:Z$80,"="&amp;'verif-jurys'!$C69)-Z23</f>
        <v>0</v>
      </c>
      <c r="AA69" s="4">
        <f>COUNTIF(SLAM!Z$3:Z$80,"="&amp;'verif-jurys'!$C69)-AA23</f>
        <v>0</v>
      </c>
      <c r="AB69" s="4">
        <f>COUNTIF(SISR!AB$3:AB$80,"="&amp;'verif-jurys'!$C69)-AB23</f>
        <v>0</v>
      </c>
      <c r="AC69" s="4">
        <f>COUNTIF(SLAM!AB$3:AB$80,"="&amp;'verif-jurys'!$C69)-AC23</f>
        <v>0</v>
      </c>
      <c r="AD69" s="4">
        <f>COUNTIF(SISR!AD$3:AD$80,"="&amp;'verif-jurys'!$C69)-AD23</f>
        <v>0</v>
      </c>
      <c r="AE69" s="4">
        <f>COUNTIF(SLAM!AD$3:AD$80,"="&amp;'verif-jurys'!$C69)-AE23</f>
        <v>0</v>
      </c>
      <c r="AF69" s="4">
        <f>COUNTIF(SISR!AF$3:AF$80,"="&amp;'verif-jurys'!$C69)-AF23</f>
        <v>0</v>
      </c>
      <c r="AG69" s="4">
        <f>COUNTIF(SLAM!AF$3:AF$80,"="&amp;'verif-jurys'!$C69)-AG23</f>
        <v>0</v>
      </c>
      <c r="AH69" s="4">
        <f>COUNTIF(SISR!AH$3:AH$80,"="&amp;'verif-jurys'!$C69)-AH23</f>
        <v>0</v>
      </c>
      <c r="AI69" s="4">
        <f>COUNTIF(SLAM!AH$3:AH$80,"="&amp;'verif-jurys'!$C69)-AI23</f>
        <v>0</v>
      </c>
      <c r="AJ69" s="4">
        <f>COUNTIF(SISR!AJ$3:AJ$80,"="&amp;'verif-jurys'!$C69)-AJ23</f>
        <v>0</v>
      </c>
      <c r="AK69" s="4">
        <f>COUNTIF(SLAM!AJ$3:AJ$80,"="&amp;'verif-jurys'!$C69)-AK23</f>
        <v>0</v>
      </c>
      <c r="AL69" s="4" t="e">
        <f>COUNTIF(SISR!AL$3:AL$80,"="&amp;'verif-jurys'!$C69)-AL23</f>
        <v>#REF!</v>
      </c>
      <c r="AM69" s="4" t="e">
        <f>COUNTIF(SLAM!AL$3:AL$80,"="&amp;'verif-jurys'!$C69)-AM23</f>
        <v>#REF!</v>
      </c>
      <c r="AN69" s="4" t="e">
        <f>COUNTIF(SISR!AN$3:AN$80,"="&amp;'verif-jurys'!$C69)-AN23</f>
        <v>#REF!</v>
      </c>
      <c r="AO69" s="4" t="e">
        <f>COUNTIF(SLAM!AN$3:AN$80,"="&amp;'verif-jurys'!$C69)-AO23</f>
        <v>#REF!</v>
      </c>
    </row>
    <row r="70" spans="3:41" x14ac:dyDescent="0.25">
      <c r="C70" s="4" t="str">
        <f>'E4-2016'!E23</f>
        <v>IMCP</v>
      </c>
      <c r="D70" s="4" t="str">
        <f>'E4-2016'!B23</f>
        <v>IMCP Paris</v>
      </c>
      <c r="E70" s="4" t="str">
        <f>'E4-2016'!D23</f>
        <v>0756241B</v>
      </c>
      <c r="F70" s="4">
        <f>COUNTIF(SISR!F$3:F$80,"="&amp;'verif-jurys'!$C70)-F24</f>
        <v>0</v>
      </c>
      <c r="G70" s="4">
        <f>COUNTIF(SLAM!F$3:F$80,"="&amp;'verif-jurys'!$C70)-G24</f>
        <v>0</v>
      </c>
      <c r="H70" s="4">
        <f>COUNTIF(SISR!H$3:H$80,"="&amp;'verif-jurys'!$C70)-H24</f>
        <v>0</v>
      </c>
      <c r="I70" s="4">
        <f>COUNTIF(SLAM!H$3:H$80,"="&amp;'verif-jurys'!$C70)-I24</f>
        <v>0</v>
      </c>
      <c r="J70" s="4">
        <f>COUNTIF(SISR!J$3:J$80,"="&amp;'verif-jurys'!$C70)-J24</f>
        <v>0</v>
      </c>
      <c r="K70" s="4">
        <f>COUNTIF(SLAM!J$3:J$80,"="&amp;'verif-jurys'!$C70)-K24</f>
        <v>0</v>
      </c>
      <c r="L70" s="4">
        <f>COUNTIF(SISR!L$3:L$80,"="&amp;'verif-jurys'!$C70)-L24</f>
        <v>0</v>
      </c>
      <c r="M70" s="4">
        <f>COUNTIF(SLAM!L$3:L$80,"="&amp;'verif-jurys'!$C70)-M24</f>
        <v>0</v>
      </c>
      <c r="N70" s="4">
        <f>COUNTIF(SISR!N$3:N$80,"="&amp;'verif-jurys'!$C70)-N24</f>
        <v>0</v>
      </c>
      <c r="O70" s="4">
        <f>COUNTIF(SLAM!N$3:N$80,"="&amp;'verif-jurys'!$C70)-O24</f>
        <v>0</v>
      </c>
      <c r="P70" s="4">
        <f>COUNTIF(SISR!P$3:P$80,"="&amp;'verif-jurys'!$C70)-P24</f>
        <v>0</v>
      </c>
      <c r="Q70" s="4">
        <f>COUNTIF(SLAM!P$3:P$80,"="&amp;'verif-jurys'!$C70)-Q24</f>
        <v>0</v>
      </c>
      <c r="R70" s="4">
        <f>COUNTIF(SISR!R$3:R$80,"="&amp;'verif-jurys'!$C70)-R24</f>
        <v>0</v>
      </c>
      <c r="S70" s="4">
        <f>COUNTIF(SLAM!R$3:R$80,"="&amp;'verif-jurys'!$C70)-S24</f>
        <v>0</v>
      </c>
      <c r="T70" s="4">
        <f>COUNTIF(SISR!T$3:T$80,"="&amp;'verif-jurys'!$C70)-T24</f>
        <v>0</v>
      </c>
      <c r="U70" s="4">
        <f>COUNTIF(SLAM!T$3:T$80,"="&amp;'verif-jurys'!$C70)-U24</f>
        <v>0</v>
      </c>
      <c r="V70" s="4">
        <f>COUNTIF(SISR!V$3:V$80,"="&amp;'verif-jurys'!$C70)-V24</f>
        <v>0</v>
      </c>
      <c r="W70" s="4">
        <f>COUNTIF(SLAM!V$3:V$80,"="&amp;'verif-jurys'!$C70)-W24</f>
        <v>0</v>
      </c>
      <c r="X70" s="4">
        <f>COUNTIF(SISR!X$3:X$80,"="&amp;'verif-jurys'!$C70)-X24</f>
        <v>0</v>
      </c>
      <c r="Y70" s="4">
        <f>COUNTIF(SLAM!X$3:X$80,"="&amp;'verif-jurys'!$C70)-Y24</f>
        <v>0</v>
      </c>
      <c r="Z70" s="4">
        <f>COUNTIF(SISR!Z$3:Z$80,"="&amp;'verif-jurys'!$C70)-Z24</f>
        <v>0</v>
      </c>
      <c r="AA70" s="4">
        <f>COUNTIF(SLAM!Z$3:Z$80,"="&amp;'verif-jurys'!$C70)-AA24</f>
        <v>0</v>
      </c>
      <c r="AB70" s="4">
        <f>COUNTIF(SISR!AB$3:AB$80,"="&amp;'verif-jurys'!$C70)-AB24</f>
        <v>0</v>
      </c>
      <c r="AC70" s="4">
        <f>COUNTIF(SLAM!AB$3:AB$80,"="&amp;'verif-jurys'!$C70)-AC24</f>
        <v>0</v>
      </c>
      <c r="AD70" s="4">
        <f>COUNTIF(SISR!AD$3:AD$80,"="&amp;'verif-jurys'!$C70)-AD24</f>
        <v>0</v>
      </c>
      <c r="AE70" s="4">
        <f>COUNTIF(SLAM!AD$3:AD$80,"="&amp;'verif-jurys'!$C70)-AE24</f>
        <v>0</v>
      </c>
      <c r="AF70" s="4">
        <f>COUNTIF(SISR!AF$3:AF$80,"="&amp;'verif-jurys'!$C70)-AF24</f>
        <v>0</v>
      </c>
      <c r="AG70" s="4">
        <f>COUNTIF(SLAM!AF$3:AF$80,"="&amp;'verif-jurys'!$C70)-AG24</f>
        <v>0</v>
      </c>
      <c r="AH70" s="4">
        <f>COUNTIF(SISR!AH$3:AH$80,"="&amp;'verif-jurys'!$C70)-AH24</f>
        <v>0</v>
      </c>
      <c r="AI70" s="4">
        <f>COUNTIF(SLAM!AH$3:AH$80,"="&amp;'verif-jurys'!$C70)-AI24</f>
        <v>0</v>
      </c>
      <c r="AJ70" s="4">
        <f>COUNTIF(SISR!AJ$3:AJ$80,"="&amp;'verif-jurys'!$C70)-AJ24</f>
        <v>0</v>
      </c>
      <c r="AK70" s="4">
        <f>COUNTIF(SLAM!AJ$3:AJ$80,"="&amp;'verif-jurys'!$C70)-AK24</f>
        <v>0</v>
      </c>
      <c r="AL70" s="4" t="e">
        <f>COUNTIF(SISR!AL$3:AL$80,"="&amp;'verif-jurys'!$C70)-AL24</f>
        <v>#REF!</v>
      </c>
      <c r="AM70" s="4" t="e">
        <f>COUNTIF(SLAM!AL$3:AL$80,"="&amp;'verif-jurys'!$C70)-AM24</f>
        <v>#REF!</v>
      </c>
      <c r="AN70" s="4" t="e">
        <f>COUNTIF(SISR!AN$3:AN$80,"="&amp;'verif-jurys'!$C70)-AN24</f>
        <v>#REF!</v>
      </c>
      <c r="AO70" s="4" t="e">
        <f>COUNTIF(SLAM!AN$3:AN$80,"="&amp;'verif-jurys'!$C70)-AO24</f>
        <v>#REF!</v>
      </c>
    </row>
    <row r="71" spans="3:41" x14ac:dyDescent="0.25">
      <c r="C71" s="4" t="str">
        <f>'E4-2016'!E24</f>
        <v>ISW</v>
      </c>
      <c r="D71" s="4" t="str">
        <f>'E4-2016'!B24</f>
        <v>CFA ISW EDUCATION</v>
      </c>
      <c r="E71" s="4" t="str">
        <f>'E4-2016'!D24</f>
        <v>0756351W</v>
      </c>
      <c r="F71" s="4">
        <f>COUNTIF(SISR!F$3:F$80,"="&amp;'verif-jurys'!$C71)-F25</f>
        <v>0</v>
      </c>
      <c r="G71" s="4">
        <f>COUNTIF(SLAM!F$3:F$80,"="&amp;'verif-jurys'!$C71)-G25</f>
        <v>0</v>
      </c>
      <c r="H71" s="4">
        <f>COUNTIF(SISR!H$3:H$80,"="&amp;'verif-jurys'!$C71)-H25</f>
        <v>0</v>
      </c>
      <c r="I71" s="4">
        <f>COUNTIF(SLAM!H$3:H$80,"="&amp;'verif-jurys'!$C71)-I25</f>
        <v>0</v>
      </c>
      <c r="J71" s="4">
        <f>COUNTIF(SISR!J$3:J$80,"="&amp;'verif-jurys'!$C71)-J25</f>
        <v>0</v>
      </c>
      <c r="K71" s="4">
        <f>COUNTIF(SLAM!J$3:J$80,"="&amp;'verif-jurys'!$C71)-K25</f>
        <v>0</v>
      </c>
      <c r="L71" s="4">
        <f>COUNTIF(SISR!L$3:L$80,"="&amp;'verif-jurys'!$C71)-L25</f>
        <v>0</v>
      </c>
      <c r="M71" s="4">
        <f>COUNTIF(SLAM!L$3:L$80,"="&amp;'verif-jurys'!$C71)-M25</f>
        <v>0</v>
      </c>
      <c r="N71" s="4">
        <f>COUNTIF(SISR!N$3:N$80,"="&amp;'verif-jurys'!$C71)-N25</f>
        <v>0</v>
      </c>
      <c r="O71" s="4">
        <f>COUNTIF(SLAM!N$3:N$80,"="&amp;'verif-jurys'!$C71)-O25</f>
        <v>0</v>
      </c>
      <c r="P71" s="4">
        <f>COUNTIF(SISR!P$3:P$80,"="&amp;'verif-jurys'!$C71)-P25</f>
        <v>0</v>
      </c>
      <c r="Q71" s="4">
        <f>COUNTIF(SLAM!P$3:P$80,"="&amp;'verif-jurys'!$C71)-Q25</f>
        <v>0</v>
      </c>
      <c r="R71" s="4">
        <f>COUNTIF(SISR!R$3:R$80,"="&amp;'verif-jurys'!$C71)-R25</f>
        <v>0</v>
      </c>
      <c r="S71" s="4">
        <f>COUNTIF(SLAM!R$3:R$80,"="&amp;'verif-jurys'!$C71)-S25</f>
        <v>0</v>
      </c>
      <c r="T71" s="4">
        <f>COUNTIF(SISR!T$3:T$80,"="&amp;'verif-jurys'!$C71)-T25</f>
        <v>0</v>
      </c>
      <c r="U71" s="4">
        <f>COUNTIF(SLAM!T$3:T$80,"="&amp;'verif-jurys'!$C71)-U25</f>
        <v>0</v>
      </c>
      <c r="V71" s="4">
        <f>COUNTIF(SISR!V$3:V$80,"="&amp;'verif-jurys'!$C71)-V25</f>
        <v>0</v>
      </c>
      <c r="W71" s="4">
        <f>COUNTIF(SLAM!V$3:V$80,"="&amp;'verif-jurys'!$C71)-W25</f>
        <v>0</v>
      </c>
      <c r="X71" s="4">
        <f>COUNTIF(SISR!X$3:X$80,"="&amp;'verif-jurys'!$C71)-X25</f>
        <v>-1</v>
      </c>
      <c r="Y71" s="4">
        <f>COUNTIF(SLAM!X$3:X$80,"="&amp;'verif-jurys'!$C71)-Y25</f>
        <v>-1</v>
      </c>
      <c r="Z71" s="4">
        <f>COUNTIF(SISR!Z$3:Z$80,"="&amp;'verif-jurys'!$C71)-Z25</f>
        <v>0</v>
      </c>
      <c r="AA71" s="4">
        <f>COUNTIF(SLAM!Z$3:Z$80,"="&amp;'verif-jurys'!$C71)-AA25</f>
        <v>0</v>
      </c>
      <c r="AB71" s="4">
        <f>COUNTIF(SISR!AB$3:AB$80,"="&amp;'verif-jurys'!$C71)-AB25</f>
        <v>0</v>
      </c>
      <c r="AC71" s="4">
        <f>COUNTIF(SLAM!AB$3:AB$80,"="&amp;'verif-jurys'!$C71)-AC25</f>
        <v>0</v>
      </c>
      <c r="AD71" s="4">
        <f>COUNTIF(SISR!AD$3:AD$80,"="&amp;'verif-jurys'!$C71)-AD25</f>
        <v>0</v>
      </c>
      <c r="AE71" s="4">
        <f>COUNTIF(SLAM!AD$3:AD$80,"="&amp;'verif-jurys'!$C71)-AE25</f>
        <v>0</v>
      </c>
      <c r="AF71" s="4">
        <f>COUNTIF(SISR!AF$3:AF$80,"="&amp;'verif-jurys'!$C71)-AF25</f>
        <v>0</v>
      </c>
      <c r="AG71" s="4">
        <f>COUNTIF(SLAM!AF$3:AF$80,"="&amp;'verif-jurys'!$C71)-AG25</f>
        <v>0</v>
      </c>
      <c r="AH71" s="4">
        <f>COUNTIF(SISR!AH$3:AH$80,"="&amp;'verif-jurys'!$C71)-AH25</f>
        <v>0</v>
      </c>
      <c r="AI71" s="4">
        <f>COUNTIF(SLAM!AH$3:AH$80,"="&amp;'verif-jurys'!$C71)-AI25</f>
        <v>0</v>
      </c>
      <c r="AJ71" s="4">
        <f>COUNTIF(SISR!AJ$3:AJ$80,"="&amp;'verif-jurys'!$C71)-AJ25</f>
        <v>0</v>
      </c>
      <c r="AK71" s="4">
        <f>COUNTIF(SLAM!AJ$3:AJ$80,"="&amp;'verif-jurys'!$C71)-AK25</f>
        <v>0</v>
      </c>
      <c r="AL71" s="4" t="e">
        <f>COUNTIF(SISR!AL$3:AL$80,"="&amp;'verif-jurys'!$C71)-AL25</f>
        <v>#REF!</v>
      </c>
      <c r="AM71" s="4" t="e">
        <f>COUNTIF(SLAM!AL$3:AL$80,"="&amp;'verif-jurys'!$C71)-AM25</f>
        <v>#REF!</v>
      </c>
      <c r="AN71" s="4" t="e">
        <f>COUNTIF(SISR!AN$3:AN$80,"="&amp;'verif-jurys'!$C71)-AN25</f>
        <v>#REF!</v>
      </c>
      <c r="AO71" s="4" t="e">
        <f>COUNTIF(SLAM!AN$3:AN$80,"="&amp;'verif-jurys'!$C71)-AO25</f>
        <v>#REF!</v>
      </c>
    </row>
    <row r="72" spans="3:41" x14ac:dyDescent="0.25">
      <c r="C72" s="4" t="str">
        <f>'E4-2016'!E25</f>
        <v>COMBS</v>
      </c>
      <c r="D72" s="4" t="str">
        <f>'E4-2016'!B25</f>
        <v>Lycee Jacques Prevert</v>
      </c>
      <c r="E72" s="4" t="str">
        <f>'E4-2016'!D25</f>
        <v>0771997C</v>
      </c>
      <c r="F72" s="4">
        <f>COUNTIF(SISR!F$3:F$80,"="&amp;'verif-jurys'!$C72)-F26</f>
        <v>0</v>
      </c>
      <c r="G72" s="4">
        <f>COUNTIF(SLAM!F$3:F$80,"="&amp;'verif-jurys'!$C72)-G26</f>
        <v>0</v>
      </c>
      <c r="H72" s="4">
        <f>COUNTIF(SISR!H$3:H$80,"="&amp;'verif-jurys'!$C72)-H26</f>
        <v>0</v>
      </c>
      <c r="I72" s="4">
        <f>COUNTIF(SLAM!H$3:H$80,"="&amp;'verif-jurys'!$C72)-I26</f>
        <v>0</v>
      </c>
      <c r="J72" s="4">
        <f>COUNTIF(SISR!J$3:J$80,"="&amp;'verif-jurys'!$C72)-J26</f>
        <v>0</v>
      </c>
      <c r="K72" s="4">
        <f>COUNTIF(SLAM!J$3:J$80,"="&amp;'verif-jurys'!$C72)-K26</f>
        <v>0</v>
      </c>
      <c r="L72" s="4">
        <f>COUNTIF(SISR!L$3:L$80,"="&amp;'verif-jurys'!$C72)-L26</f>
        <v>-1</v>
      </c>
      <c r="M72" s="4">
        <f>COUNTIF(SLAM!L$3:L$80,"="&amp;'verif-jurys'!$C72)-M26</f>
        <v>-1</v>
      </c>
      <c r="N72" s="4">
        <f>COUNTIF(SISR!N$3:N$80,"="&amp;'verif-jurys'!$C72)-N26</f>
        <v>0</v>
      </c>
      <c r="O72" s="4">
        <f>COUNTIF(SLAM!N$3:N$80,"="&amp;'verif-jurys'!$C72)-O26</f>
        <v>0</v>
      </c>
      <c r="P72" s="4">
        <f>COUNTIF(SISR!P$3:P$80,"="&amp;'verif-jurys'!$C72)-P26</f>
        <v>0</v>
      </c>
      <c r="Q72" s="4">
        <f>COUNTIF(SLAM!P$3:P$80,"="&amp;'verif-jurys'!$C72)-Q26</f>
        <v>0</v>
      </c>
      <c r="R72" s="4">
        <f>COUNTIF(SISR!R$3:R$80,"="&amp;'verif-jurys'!$C72)-R26</f>
        <v>0</v>
      </c>
      <c r="S72" s="4">
        <f>COUNTIF(SLAM!R$3:R$80,"="&amp;'verif-jurys'!$C72)-S26</f>
        <v>0</v>
      </c>
      <c r="T72" s="4">
        <f>COUNTIF(SISR!T$3:T$80,"="&amp;'verif-jurys'!$C72)-T26</f>
        <v>0</v>
      </c>
      <c r="U72" s="4">
        <f>COUNTIF(SLAM!T$3:T$80,"="&amp;'verif-jurys'!$C72)-U26</f>
        <v>0</v>
      </c>
      <c r="V72" s="4">
        <f>COUNTIF(SISR!V$3:V$80,"="&amp;'verif-jurys'!$C72)-V26</f>
        <v>0</v>
      </c>
      <c r="W72" s="4">
        <f>COUNTIF(SLAM!V$3:V$80,"="&amp;'verif-jurys'!$C72)-W26</f>
        <v>0</v>
      </c>
      <c r="X72" s="4">
        <f>COUNTIF(SISR!X$3:X$80,"="&amp;'verif-jurys'!$C72)-X26</f>
        <v>0</v>
      </c>
      <c r="Y72" s="4">
        <f>COUNTIF(SLAM!X$3:X$80,"="&amp;'verif-jurys'!$C72)-Y26</f>
        <v>0</v>
      </c>
      <c r="Z72" s="4">
        <f>COUNTIF(SISR!Z$3:Z$80,"="&amp;'verif-jurys'!$C72)-Z26</f>
        <v>0</v>
      </c>
      <c r="AA72" s="4">
        <f>COUNTIF(SLAM!Z$3:Z$80,"="&amp;'verif-jurys'!$C72)-AA26</f>
        <v>0</v>
      </c>
      <c r="AB72" s="4">
        <f>COUNTIF(SISR!AB$3:AB$80,"="&amp;'verif-jurys'!$C72)-AB26</f>
        <v>0</v>
      </c>
      <c r="AC72" s="4">
        <f>COUNTIF(SLAM!AB$3:AB$80,"="&amp;'verif-jurys'!$C72)-AC26</f>
        <v>0</v>
      </c>
      <c r="AD72" s="4">
        <f>COUNTIF(SISR!AD$3:AD$80,"="&amp;'verif-jurys'!$C72)-AD26</f>
        <v>0</v>
      </c>
      <c r="AE72" s="4">
        <f>COUNTIF(SLAM!AD$3:AD$80,"="&amp;'verif-jurys'!$C72)-AE26</f>
        <v>0</v>
      </c>
      <c r="AF72" s="4">
        <f>COUNTIF(SISR!AF$3:AF$80,"="&amp;'verif-jurys'!$C72)-AF26</f>
        <v>0</v>
      </c>
      <c r="AG72" s="4">
        <f>COUNTIF(SLAM!AF$3:AF$80,"="&amp;'verif-jurys'!$C72)-AG26</f>
        <v>0</v>
      </c>
      <c r="AH72" s="4">
        <f>COUNTIF(SISR!AH$3:AH$80,"="&amp;'verif-jurys'!$C72)-AH26</f>
        <v>0</v>
      </c>
      <c r="AI72" s="4">
        <f>COUNTIF(SLAM!AH$3:AH$80,"="&amp;'verif-jurys'!$C72)-AI26</f>
        <v>0</v>
      </c>
      <c r="AJ72" s="4">
        <f>COUNTIF(SISR!AJ$3:AJ$80,"="&amp;'verif-jurys'!$C72)-AJ26</f>
        <v>0</v>
      </c>
      <c r="AK72" s="4">
        <f>COUNTIF(SLAM!AJ$3:AJ$80,"="&amp;'verif-jurys'!$C72)-AK26</f>
        <v>0</v>
      </c>
      <c r="AL72" s="4" t="e">
        <f>COUNTIF(SISR!AL$3:AL$80,"="&amp;'verif-jurys'!$C72)-AL26</f>
        <v>#REF!</v>
      </c>
      <c r="AM72" s="4" t="e">
        <f>COUNTIF(SLAM!AL$3:AL$80,"="&amp;'verif-jurys'!$C72)-AM26</f>
        <v>#REF!</v>
      </c>
      <c r="AN72" s="4" t="e">
        <f>COUNTIF(SISR!AN$3:AN$80,"="&amp;'verif-jurys'!$C72)-AN26</f>
        <v>#REF!</v>
      </c>
      <c r="AO72" s="4" t="e">
        <f>COUNTIF(SLAM!AN$3:AN$80,"="&amp;'verif-jurys'!$C72)-AO26</f>
        <v>#REF!</v>
      </c>
    </row>
    <row r="73" spans="3:41" x14ac:dyDescent="0.25">
      <c r="C73" s="4" t="str">
        <f>'E4-2016'!E26</f>
        <v>ED77</v>
      </c>
      <c r="D73" s="4" t="str">
        <f>'E4-2016'!B26</f>
        <v>Educatel 77</v>
      </c>
      <c r="E73" s="4" t="str">
        <f>'E4-2016'!D26</f>
        <v>077203SB</v>
      </c>
      <c r="F73" s="4">
        <f>COUNTIF(SISR!F$3:F$80,"="&amp;'verif-jurys'!$C73)-F27</f>
        <v>0</v>
      </c>
      <c r="G73" s="4">
        <f>COUNTIF(SLAM!F$3:F$80,"="&amp;'verif-jurys'!$C73)-G27</f>
        <v>0</v>
      </c>
      <c r="H73" s="4">
        <f>COUNTIF(SISR!H$3:H$80,"="&amp;'verif-jurys'!$C73)-H27</f>
        <v>0</v>
      </c>
      <c r="I73" s="4">
        <f>COUNTIF(SLAM!H$3:H$80,"="&amp;'verif-jurys'!$C73)-I27</f>
        <v>0</v>
      </c>
      <c r="J73" s="4">
        <f>COUNTIF(SISR!J$3:J$80,"="&amp;'verif-jurys'!$C73)-J27</f>
        <v>0</v>
      </c>
      <c r="K73" s="4">
        <f>COUNTIF(SLAM!J$3:J$80,"="&amp;'verif-jurys'!$C73)-K27</f>
        <v>0</v>
      </c>
      <c r="L73" s="4">
        <f>COUNTIF(SISR!L$3:L$80,"="&amp;'verif-jurys'!$C73)-L27</f>
        <v>0</v>
      </c>
      <c r="M73" s="4">
        <f>COUNTIF(SLAM!L$3:L$80,"="&amp;'verif-jurys'!$C73)-M27</f>
        <v>0</v>
      </c>
      <c r="N73" s="4">
        <f>COUNTIF(SISR!N$3:N$80,"="&amp;'verif-jurys'!$C73)-N27</f>
        <v>0</v>
      </c>
      <c r="O73" s="4">
        <f>COUNTIF(SLAM!N$3:N$80,"="&amp;'verif-jurys'!$C73)-O27</f>
        <v>0</v>
      </c>
      <c r="P73" s="4">
        <f>COUNTIF(SISR!P$3:P$80,"="&amp;'verif-jurys'!$C73)-P27</f>
        <v>0</v>
      </c>
      <c r="Q73" s="4">
        <f>COUNTIF(SLAM!P$3:P$80,"="&amp;'verif-jurys'!$C73)-Q27</f>
        <v>0</v>
      </c>
      <c r="R73" s="4">
        <f>COUNTIF(SISR!R$3:R$80,"="&amp;'verif-jurys'!$C73)-R27</f>
        <v>0</v>
      </c>
      <c r="S73" s="4">
        <f>COUNTIF(SLAM!R$3:R$80,"="&amp;'verif-jurys'!$C73)-S27</f>
        <v>0</v>
      </c>
      <c r="T73" s="4">
        <f>COUNTIF(SISR!T$3:T$80,"="&amp;'verif-jurys'!$C73)-T27</f>
        <v>0</v>
      </c>
      <c r="U73" s="4">
        <f>COUNTIF(SLAM!T$3:T$80,"="&amp;'verif-jurys'!$C73)-U27</f>
        <v>0</v>
      </c>
      <c r="V73" s="4">
        <f>COUNTIF(SISR!V$3:V$80,"="&amp;'verif-jurys'!$C73)-V27</f>
        <v>0</v>
      </c>
      <c r="W73" s="4">
        <f>COUNTIF(SLAM!V$3:V$80,"="&amp;'verif-jurys'!$C73)-W27</f>
        <v>0</v>
      </c>
      <c r="X73" s="4">
        <f>COUNTIF(SISR!X$3:X$80,"="&amp;'verif-jurys'!$C73)-X27</f>
        <v>0</v>
      </c>
      <c r="Y73" s="4">
        <f>COUNTIF(SLAM!X$3:X$80,"="&amp;'verif-jurys'!$C73)-Y27</f>
        <v>0</v>
      </c>
      <c r="Z73" s="4">
        <f>COUNTIF(SISR!Z$3:Z$80,"="&amp;'verif-jurys'!$C73)-Z27</f>
        <v>0</v>
      </c>
      <c r="AA73" s="4">
        <f>COUNTIF(SLAM!Z$3:Z$80,"="&amp;'verif-jurys'!$C73)-AA27</f>
        <v>0</v>
      </c>
      <c r="AB73" s="4">
        <f>COUNTIF(SISR!AB$3:AB$80,"="&amp;'verif-jurys'!$C73)-AB27</f>
        <v>0</v>
      </c>
      <c r="AC73" s="4">
        <f>COUNTIF(SLAM!AB$3:AB$80,"="&amp;'verif-jurys'!$C73)-AC27</f>
        <v>0</v>
      </c>
      <c r="AD73" s="4">
        <f>COUNTIF(SISR!AD$3:AD$80,"="&amp;'verif-jurys'!$C73)-AD27</f>
        <v>0</v>
      </c>
      <c r="AE73" s="4">
        <f>COUNTIF(SLAM!AD$3:AD$80,"="&amp;'verif-jurys'!$C73)-AE27</f>
        <v>0</v>
      </c>
      <c r="AF73" s="4">
        <f>COUNTIF(SISR!AF$3:AF$80,"="&amp;'verif-jurys'!$C73)-AF27</f>
        <v>0</v>
      </c>
      <c r="AG73" s="4">
        <f>COUNTIF(SLAM!AF$3:AF$80,"="&amp;'verif-jurys'!$C73)-AG27</f>
        <v>0</v>
      </c>
      <c r="AH73" s="4">
        <f>COUNTIF(SISR!AH$3:AH$80,"="&amp;'verif-jurys'!$C73)-AH27</f>
        <v>0</v>
      </c>
      <c r="AI73" s="4">
        <f>COUNTIF(SLAM!AH$3:AH$80,"="&amp;'verif-jurys'!$C73)-AI27</f>
        <v>0</v>
      </c>
      <c r="AJ73" s="4">
        <f>COUNTIF(SISR!AJ$3:AJ$80,"="&amp;'verif-jurys'!$C73)-AJ27</f>
        <v>0</v>
      </c>
      <c r="AK73" s="4">
        <f>COUNTIF(SLAM!AJ$3:AJ$80,"="&amp;'verif-jurys'!$C73)-AK27</f>
        <v>0</v>
      </c>
      <c r="AL73" s="4" t="e">
        <f>COUNTIF(SISR!AL$3:AL$80,"="&amp;'verif-jurys'!$C73)-AL27</f>
        <v>#REF!</v>
      </c>
      <c r="AM73" s="4" t="e">
        <f>COUNTIF(SLAM!AL$3:AL$80,"="&amp;'verif-jurys'!$C73)-AM27</f>
        <v>#REF!</v>
      </c>
      <c r="AN73" s="4" t="e">
        <f>COUNTIF(SISR!AN$3:AN$80,"="&amp;'verif-jurys'!$C73)-AN27</f>
        <v>#REF!</v>
      </c>
      <c r="AO73" s="4" t="e">
        <f>COUNTIF(SLAM!AN$3:AN$80,"="&amp;'verif-jurys'!$C73)-AO27</f>
        <v>#REF!</v>
      </c>
    </row>
    <row r="74" spans="3:41" x14ac:dyDescent="0.25">
      <c r="C74" s="4" t="str">
        <f>'E4-2016'!E27</f>
        <v>CHAM</v>
      </c>
      <c r="D74" s="4" t="str">
        <f>'E4-2016'!B27</f>
        <v>lycee Rene Descartes</v>
      </c>
      <c r="E74" s="4" t="str">
        <f>'E4-2016'!D27</f>
        <v>0772223Y</v>
      </c>
      <c r="F74" s="4">
        <f>COUNTIF(SISR!F$3:F$80,"="&amp;'verif-jurys'!$C74)-F28</f>
        <v>0</v>
      </c>
      <c r="G74" s="4">
        <f>COUNTIF(SLAM!F$3:F$80,"="&amp;'verif-jurys'!$C74)-G28</f>
        <v>0</v>
      </c>
      <c r="H74" s="4">
        <f>COUNTIF(SISR!H$3:H$80,"="&amp;'verif-jurys'!$C74)-H28</f>
        <v>0</v>
      </c>
      <c r="I74" s="4">
        <f>COUNTIF(SLAM!H$3:H$80,"="&amp;'verif-jurys'!$C74)-I28</f>
        <v>0</v>
      </c>
      <c r="J74" s="4">
        <f>COUNTIF(SISR!J$3:J$80,"="&amp;'verif-jurys'!$C74)-J28</f>
        <v>0</v>
      </c>
      <c r="K74" s="4">
        <f>COUNTIF(SLAM!J$3:J$80,"="&amp;'verif-jurys'!$C74)-K28</f>
        <v>0</v>
      </c>
      <c r="L74" s="4">
        <f>COUNTIF(SISR!L$3:L$80,"="&amp;'verif-jurys'!$C74)-L28</f>
        <v>0</v>
      </c>
      <c r="M74" s="4">
        <f>COUNTIF(SLAM!L$3:L$80,"="&amp;'verif-jurys'!$C74)-M28</f>
        <v>0</v>
      </c>
      <c r="N74" s="4">
        <f>COUNTIF(SISR!N$3:N$80,"="&amp;'verif-jurys'!$C74)-N28</f>
        <v>-1</v>
      </c>
      <c r="O74" s="4">
        <f>COUNTIF(SLAM!N$3:N$80,"="&amp;'verif-jurys'!$C74)-O28</f>
        <v>-1</v>
      </c>
      <c r="P74" s="4">
        <f>COUNTIF(SISR!P$3:P$80,"="&amp;'verif-jurys'!$C74)-P28</f>
        <v>-1</v>
      </c>
      <c r="Q74" s="4">
        <f>COUNTIF(SLAM!P$3:P$80,"="&amp;'verif-jurys'!$C74)-Q28</f>
        <v>-1</v>
      </c>
      <c r="R74" s="4">
        <f>COUNTIF(SISR!R$3:R$80,"="&amp;'verif-jurys'!$C74)-R28</f>
        <v>-1</v>
      </c>
      <c r="S74" s="4">
        <f>COUNTIF(SLAM!R$3:R$80,"="&amp;'verif-jurys'!$C74)-S28</f>
        <v>-1</v>
      </c>
      <c r="T74" s="4">
        <f>COUNTIF(SISR!T$3:T$80,"="&amp;'verif-jurys'!$C74)-T28</f>
        <v>-1</v>
      </c>
      <c r="U74" s="4">
        <f>COUNTIF(SLAM!T$3:T$80,"="&amp;'verif-jurys'!$C74)-U28</f>
        <v>-1</v>
      </c>
      <c r="V74" s="4">
        <f>COUNTIF(SISR!V$3:V$80,"="&amp;'verif-jurys'!$C74)-V28</f>
        <v>-1</v>
      </c>
      <c r="W74" s="4">
        <f>COUNTIF(SLAM!V$3:V$80,"="&amp;'verif-jurys'!$C74)-W28</f>
        <v>-1</v>
      </c>
      <c r="X74" s="4">
        <f>COUNTIF(SISR!X$3:X$80,"="&amp;'verif-jurys'!$C74)-X28</f>
        <v>-1</v>
      </c>
      <c r="Y74" s="4">
        <f>COUNTIF(SLAM!X$3:X$80,"="&amp;'verif-jurys'!$C74)-Y28</f>
        <v>-1</v>
      </c>
      <c r="Z74" s="4">
        <f>COUNTIF(SISR!Z$3:Z$80,"="&amp;'verif-jurys'!$C74)-Z28</f>
        <v>-1</v>
      </c>
      <c r="AA74" s="4">
        <f>COUNTIF(SLAM!Z$3:Z$80,"="&amp;'verif-jurys'!$C74)-AA28</f>
        <v>-1</v>
      </c>
      <c r="AB74" s="4">
        <f>COUNTIF(SISR!AB$3:AB$80,"="&amp;'verif-jurys'!$C74)-AB28</f>
        <v>-1</v>
      </c>
      <c r="AC74" s="4">
        <f>COUNTIF(SLAM!AB$3:AB$80,"="&amp;'verif-jurys'!$C74)-AC28</f>
        <v>-1</v>
      </c>
      <c r="AD74" s="4">
        <f>COUNTIF(SISR!AD$3:AD$80,"="&amp;'verif-jurys'!$C74)-AD28</f>
        <v>-1</v>
      </c>
      <c r="AE74" s="4">
        <f>COUNTIF(SLAM!AD$3:AD$80,"="&amp;'verif-jurys'!$C74)-AE28</f>
        <v>-1</v>
      </c>
      <c r="AF74" s="4">
        <f>COUNTIF(SISR!AF$3:AF$80,"="&amp;'verif-jurys'!$C74)-AF28</f>
        <v>-1</v>
      </c>
      <c r="AG74" s="4">
        <f>COUNTIF(SLAM!AF$3:AF$80,"="&amp;'verif-jurys'!$C74)-AG28</f>
        <v>-1</v>
      </c>
      <c r="AH74" s="4">
        <f>COUNTIF(SISR!AH$3:AH$80,"="&amp;'verif-jurys'!$C74)-AH28</f>
        <v>-1</v>
      </c>
      <c r="AI74" s="4">
        <f>COUNTIF(SLAM!AH$3:AH$80,"="&amp;'verif-jurys'!$C74)-AI28</f>
        <v>-1</v>
      </c>
      <c r="AJ74" s="4">
        <f>COUNTIF(SISR!AJ$3:AJ$80,"="&amp;'verif-jurys'!$C74)-AJ28</f>
        <v>-1</v>
      </c>
      <c r="AK74" s="4">
        <f>COUNTIF(SLAM!AJ$3:AJ$80,"="&amp;'verif-jurys'!$C74)-AK28</f>
        <v>-1</v>
      </c>
      <c r="AL74" s="4" t="e">
        <f>COUNTIF(SISR!AL$3:AL$80,"="&amp;'verif-jurys'!$C74)-AL28</f>
        <v>#REF!</v>
      </c>
      <c r="AM74" s="4" t="e">
        <f>COUNTIF(SLAM!AL$3:AL$80,"="&amp;'verif-jurys'!$C74)-AM28</f>
        <v>#REF!</v>
      </c>
      <c r="AN74" s="4" t="e">
        <f>COUNTIF(SISR!AN$3:AN$80,"="&amp;'verif-jurys'!$C74)-AN28</f>
        <v>#REF!</v>
      </c>
      <c r="AO74" s="4" t="e">
        <f>COUNTIF(SLAM!AN$3:AN$80,"="&amp;'verif-jurys'!$C74)-AO28</f>
        <v>#REF!</v>
      </c>
    </row>
    <row r="75" spans="3:41" x14ac:dyDescent="0.25">
      <c r="C75" s="4" t="str">
        <f>'E4-2016'!E28</f>
        <v>EMSC</v>
      </c>
      <c r="D75" s="4" t="str">
        <f>'E4-2016'!B28</f>
        <v>EMSCA</v>
      </c>
      <c r="E75" s="4" t="str">
        <f>'E4-2016'!D28</f>
        <v>0772893B</v>
      </c>
      <c r="F75" s="4">
        <f>COUNTIF(SISR!F$3:F$80,"="&amp;'verif-jurys'!$C75)-F29</f>
        <v>0</v>
      </c>
      <c r="G75" s="4">
        <f>COUNTIF(SLAM!F$3:F$80,"="&amp;'verif-jurys'!$C75)-G29</f>
        <v>0</v>
      </c>
      <c r="H75" s="4">
        <f>COUNTIF(SISR!H$3:H$80,"="&amp;'verif-jurys'!$C75)-H29</f>
        <v>0</v>
      </c>
      <c r="I75" s="4">
        <f>COUNTIF(SLAM!H$3:H$80,"="&amp;'verif-jurys'!$C75)-I29</f>
        <v>0</v>
      </c>
      <c r="J75" s="4">
        <f>COUNTIF(SISR!J$3:J$80,"="&amp;'verif-jurys'!$C75)-J29</f>
        <v>0</v>
      </c>
      <c r="K75" s="4">
        <f>COUNTIF(SLAM!J$3:J$80,"="&amp;'verif-jurys'!$C75)-K29</f>
        <v>0</v>
      </c>
      <c r="L75" s="4">
        <f>COUNTIF(SISR!L$3:L$80,"="&amp;'verif-jurys'!$C75)-L29</f>
        <v>0</v>
      </c>
      <c r="M75" s="4">
        <f>COUNTIF(SLAM!L$3:L$80,"="&amp;'verif-jurys'!$C75)-M29</f>
        <v>0</v>
      </c>
      <c r="N75" s="4">
        <f>COUNTIF(SISR!N$3:N$80,"="&amp;'verif-jurys'!$C75)-N29</f>
        <v>0</v>
      </c>
      <c r="O75" s="4">
        <f>COUNTIF(SLAM!N$3:N$80,"="&amp;'verif-jurys'!$C75)-O29</f>
        <v>0</v>
      </c>
      <c r="P75" s="4">
        <f>COUNTIF(SISR!P$3:P$80,"="&amp;'verif-jurys'!$C75)-P29</f>
        <v>-1</v>
      </c>
      <c r="Q75" s="4">
        <f>COUNTIF(SLAM!P$3:P$80,"="&amp;'verif-jurys'!$C75)-Q29</f>
        <v>-1</v>
      </c>
      <c r="R75" s="4">
        <f>COUNTIF(SISR!R$3:R$80,"="&amp;'verif-jurys'!$C75)-R29</f>
        <v>0</v>
      </c>
      <c r="S75" s="4">
        <f>COUNTIF(SLAM!R$3:R$80,"="&amp;'verif-jurys'!$C75)-S29</f>
        <v>0</v>
      </c>
      <c r="T75" s="4">
        <f>COUNTIF(SISR!T$3:T$80,"="&amp;'verif-jurys'!$C75)-T29</f>
        <v>0</v>
      </c>
      <c r="U75" s="4">
        <f>COUNTIF(SLAM!T$3:T$80,"="&amp;'verif-jurys'!$C75)-U29</f>
        <v>0</v>
      </c>
      <c r="V75" s="4">
        <f>COUNTIF(SISR!V$3:V$80,"="&amp;'verif-jurys'!$C75)-V29</f>
        <v>0</v>
      </c>
      <c r="W75" s="4">
        <f>COUNTIF(SLAM!V$3:V$80,"="&amp;'verif-jurys'!$C75)-W29</f>
        <v>0</v>
      </c>
      <c r="X75" s="4">
        <f>COUNTIF(SISR!X$3:X$80,"="&amp;'verif-jurys'!$C75)-X29</f>
        <v>0</v>
      </c>
      <c r="Y75" s="4">
        <f>COUNTIF(SLAM!X$3:X$80,"="&amp;'verif-jurys'!$C75)-Y29</f>
        <v>0</v>
      </c>
      <c r="Z75" s="4">
        <f>COUNTIF(SISR!Z$3:Z$80,"="&amp;'verif-jurys'!$C75)-Z29</f>
        <v>0</v>
      </c>
      <c r="AA75" s="4">
        <f>COUNTIF(SLAM!Z$3:Z$80,"="&amp;'verif-jurys'!$C75)-AA29</f>
        <v>0</v>
      </c>
      <c r="AB75" s="4">
        <f>COUNTIF(SISR!AB$3:AB$80,"="&amp;'verif-jurys'!$C75)-AB29</f>
        <v>0</v>
      </c>
      <c r="AC75" s="4">
        <f>COUNTIF(SLAM!AB$3:AB$80,"="&amp;'verif-jurys'!$C75)-AC29</f>
        <v>0</v>
      </c>
      <c r="AD75" s="4">
        <f>COUNTIF(SISR!AD$3:AD$80,"="&amp;'verif-jurys'!$C75)-AD29</f>
        <v>0</v>
      </c>
      <c r="AE75" s="4">
        <f>COUNTIF(SLAM!AD$3:AD$80,"="&amp;'verif-jurys'!$C75)-AE29</f>
        <v>0</v>
      </c>
      <c r="AF75" s="4">
        <f>COUNTIF(SISR!AF$3:AF$80,"="&amp;'verif-jurys'!$C75)-AF29</f>
        <v>0</v>
      </c>
      <c r="AG75" s="4">
        <f>COUNTIF(SLAM!AF$3:AF$80,"="&amp;'verif-jurys'!$C75)-AG29</f>
        <v>0</v>
      </c>
      <c r="AH75" s="4">
        <f>COUNTIF(SISR!AH$3:AH$80,"="&amp;'verif-jurys'!$C75)-AH29</f>
        <v>0</v>
      </c>
      <c r="AI75" s="4">
        <f>COUNTIF(SLAM!AH$3:AH$80,"="&amp;'verif-jurys'!$C75)-AI29</f>
        <v>0</v>
      </c>
      <c r="AJ75" s="4">
        <f>COUNTIF(SISR!AJ$3:AJ$80,"="&amp;'verif-jurys'!$C75)-AJ29</f>
        <v>0</v>
      </c>
      <c r="AK75" s="4">
        <f>COUNTIF(SLAM!AJ$3:AJ$80,"="&amp;'verif-jurys'!$C75)-AK29</f>
        <v>0</v>
      </c>
      <c r="AL75" s="4" t="e">
        <f>COUNTIF(SISR!AL$3:AL$80,"="&amp;'verif-jurys'!$C75)-AL29</f>
        <v>#REF!</v>
      </c>
      <c r="AM75" s="4" t="e">
        <f>COUNTIF(SLAM!AL$3:AL$80,"="&amp;'verif-jurys'!$C75)-AM29</f>
        <v>#REF!</v>
      </c>
      <c r="AN75" s="4" t="e">
        <f>COUNTIF(SISR!AN$3:AN$80,"="&amp;'verif-jurys'!$C75)-AN29</f>
        <v>#REF!</v>
      </c>
      <c r="AO75" s="4" t="e">
        <f>COUNTIF(SLAM!AN$3:AN$80,"="&amp;'verif-jurys'!$C75)-AO29</f>
        <v>#REF!</v>
      </c>
    </row>
    <row r="76" spans="3:41" x14ac:dyDescent="0.25">
      <c r="C76" s="4" t="str">
        <f>'E4-2016'!E29</f>
        <v>H3C</v>
      </c>
      <c r="D76" s="4" t="str">
        <f>'E4-2016'!B29</f>
        <v>H3C Campus Poissy</v>
      </c>
      <c r="E76" s="4" t="str">
        <f>'E4-2016'!D29</f>
        <v>0781858W</v>
      </c>
      <c r="F76" s="4">
        <f>COUNTIF(SISR!F$3:F$80,"="&amp;'verif-jurys'!$C76)-F30</f>
        <v>0</v>
      </c>
      <c r="G76" s="4">
        <f>COUNTIF(SLAM!F$3:F$80,"="&amp;'verif-jurys'!$C76)-G30</f>
        <v>0</v>
      </c>
      <c r="H76" s="4">
        <f>COUNTIF(SISR!H$3:H$80,"="&amp;'verif-jurys'!$C76)-H30</f>
        <v>0</v>
      </c>
      <c r="I76" s="4">
        <f>COUNTIF(SLAM!H$3:H$80,"="&amp;'verif-jurys'!$C76)-I30</f>
        <v>0</v>
      </c>
      <c r="J76" s="4">
        <f>COUNTIF(SISR!J$3:J$80,"="&amp;'verif-jurys'!$C76)-J30</f>
        <v>0</v>
      </c>
      <c r="K76" s="4">
        <f>COUNTIF(SLAM!J$3:J$80,"="&amp;'verif-jurys'!$C76)-K30</f>
        <v>0</v>
      </c>
      <c r="L76" s="4">
        <f>COUNTIF(SISR!L$3:L$80,"="&amp;'verif-jurys'!$C76)-L30</f>
        <v>0</v>
      </c>
      <c r="M76" s="4">
        <f>COUNTIF(SLAM!L$3:L$80,"="&amp;'verif-jurys'!$C76)-M30</f>
        <v>0</v>
      </c>
      <c r="N76" s="4">
        <f>COUNTIF(SISR!N$3:N$80,"="&amp;'verif-jurys'!$C76)-N30</f>
        <v>0</v>
      </c>
      <c r="O76" s="4">
        <f>COUNTIF(SLAM!N$3:N$80,"="&amp;'verif-jurys'!$C76)-O30</f>
        <v>0</v>
      </c>
      <c r="P76" s="4">
        <f>COUNTIF(SISR!P$3:P$80,"="&amp;'verif-jurys'!$C76)-P30</f>
        <v>0</v>
      </c>
      <c r="Q76" s="4">
        <f>COUNTIF(SLAM!P$3:P$80,"="&amp;'verif-jurys'!$C76)-Q30</f>
        <v>0</v>
      </c>
      <c r="R76" s="4">
        <f>COUNTIF(SISR!R$3:R$80,"="&amp;'verif-jurys'!$C76)-R30</f>
        <v>0</v>
      </c>
      <c r="S76" s="4">
        <f>COUNTIF(SLAM!R$3:R$80,"="&amp;'verif-jurys'!$C76)-S30</f>
        <v>0</v>
      </c>
      <c r="T76" s="4">
        <f>COUNTIF(SISR!T$3:T$80,"="&amp;'verif-jurys'!$C76)-T30</f>
        <v>0</v>
      </c>
      <c r="U76" s="4">
        <f>COUNTIF(SLAM!T$3:T$80,"="&amp;'verif-jurys'!$C76)-U30</f>
        <v>0</v>
      </c>
      <c r="V76" s="4">
        <f>COUNTIF(SISR!V$3:V$80,"="&amp;'verif-jurys'!$C76)-V30</f>
        <v>0</v>
      </c>
      <c r="W76" s="4">
        <f>COUNTIF(SLAM!V$3:V$80,"="&amp;'verif-jurys'!$C76)-W30</f>
        <v>0</v>
      </c>
      <c r="X76" s="4">
        <f>COUNTIF(SISR!X$3:X$80,"="&amp;'verif-jurys'!$C76)-X30</f>
        <v>0</v>
      </c>
      <c r="Y76" s="4">
        <f>COUNTIF(SLAM!X$3:X$80,"="&amp;'verif-jurys'!$C76)-Y30</f>
        <v>0</v>
      </c>
      <c r="Z76" s="4">
        <f>COUNTIF(SISR!Z$3:Z$80,"="&amp;'verif-jurys'!$C76)-Z30</f>
        <v>0</v>
      </c>
      <c r="AA76" s="4">
        <f>COUNTIF(SLAM!Z$3:Z$80,"="&amp;'verif-jurys'!$C76)-AA30</f>
        <v>0</v>
      </c>
      <c r="AB76" s="4">
        <f>COUNTIF(SISR!AB$3:AB$80,"="&amp;'verif-jurys'!$C76)-AB30</f>
        <v>0</v>
      </c>
      <c r="AC76" s="4">
        <f>COUNTIF(SLAM!AB$3:AB$80,"="&amp;'verif-jurys'!$C76)-AC30</f>
        <v>0</v>
      </c>
      <c r="AD76" s="4">
        <f>COUNTIF(SISR!AD$3:AD$80,"="&amp;'verif-jurys'!$C76)-AD30</f>
        <v>0</v>
      </c>
      <c r="AE76" s="4">
        <f>COUNTIF(SLAM!AD$3:AD$80,"="&amp;'verif-jurys'!$C76)-AE30</f>
        <v>0</v>
      </c>
      <c r="AF76" s="4">
        <f>COUNTIF(SISR!AF$3:AF$80,"="&amp;'verif-jurys'!$C76)-AF30</f>
        <v>0</v>
      </c>
      <c r="AG76" s="4">
        <f>COUNTIF(SLAM!AF$3:AF$80,"="&amp;'verif-jurys'!$C76)-AG30</f>
        <v>0</v>
      </c>
      <c r="AH76" s="4">
        <f>COUNTIF(SISR!AH$3:AH$80,"="&amp;'verif-jurys'!$C76)-AH30</f>
        <v>0</v>
      </c>
      <c r="AI76" s="4">
        <f>COUNTIF(SLAM!AH$3:AH$80,"="&amp;'verif-jurys'!$C76)-AI30</f>
        <v>0</v>
      </c>
      <c r="AJ76" s="4">
        <f>COUNTIF(SISR!AJ$3:AJ$80,"="&amp;'verif-jurys'!$C76)-AJ30</f>
        <v>0</v>
      </c>
      <c r="AK76" s="4">
        <f>COUNTIF(SLAM!AJ$3:AJ$80,"="&amp;'verif-jurys'!$C76)-AK30</f>
        <v>0</v>
      </c>
      <c r="AL76" s="4" t="e">
        <f>COUNTIF(SISR!AL$3:AL$80,"="&amp;'verif-jurys'!$C76)-AL30</f>
        <v>#REF!</v>
      </c>
      <c r="AM76" s="4" t="e">
        <f>COUNTIF(SLAM!AL$3:AL$80,"="&amp;'verif-jurys'!$C76)-AM30</f>
        <v>#REF!</v>
      </c>
      <c r="AN76" s="4" t="e">
        <f>COUNTIF(SISR!AN$3:AN$80,"="&amp;'verif-jurys'!$C76)-AN30</f>
        <v>#REF!</v>
      </c>
      <c r="AO76" s="4" t="e">
        <f>COUNTIF(SLAM!AN$3:AN$80,"="&amp;'verif-jurys'!$C76)-AO30</f>
        <v>#REF!</v>
      </c>
    </row>
    <row r="77" spans="3:41" x14ac:dyDescent="0.25">
      <c r="C77" s="4" t="str">
        <f>'E4-2016'!E30</f>
        <v>CGS</v>
      </c>
      <c r="D77" s="4" t="str">
        <f>'E4-2016'!B30</f>
        <v>ENSUP CGSAT</v>
      </c>
      <c r="E77" s="4" t="str">
        <f>'E4-2016'!D30</f>
        <v>0783545E</v>
      </c>
      <c r="F77" s="4">
        <f>COUNTIF(SISR!F$3:F$80,"="&amp;'verif-jurys'!$C77)-F31</f>
        <v>0</v>
      </c>
      <c r="G77" s="4">
        <f>COUNTIF(SLAM!F$3:F$80,"="&amp;'verif-jurys'!$C77)-G31</f>
        <v>0</v>
      </c>
      <c r="H77" s="4">
        <f>COUNTIF(SISR!H$3:H$80,"="&amp;'verif-jurys'!$C77)-H31</f>
        <v>0</v>
      </c>
      <c r="I77" s="4">
        <f>COUNTIF(SLAM!H$3:H$80,"="&amp;'verif-jurys'!$C77)-I31</f>
        <v>0</v>
      </c>
      <c r="J77" s="4">
        <f>COUNTIF(SISR!J$3:J$80,"="&amp;'verif-jurys'!$C77)-J31</f>
        <v>0</v>
      </c>
      <c r="K77" s="4">
        <f>COUNTIF(SLAM!J$3:J$80,"="&amp;'verif-jurys'!$C77)-K31</f>
        <v>0</v>
      </c>
      <c r="L77" s="4">
        <f>COUNTIF(SISR!L$3:L$80,"="&amp;'verif-jurys'!$C77)-L31</f>
        <v>0</v>
      </c>
      <c r="M77" s="4">
        <f>COUNTIF(SLAM!L$3:L$80,"="&amp;'verif-jurys'!$C77)-M31</f>
        <v>0</v>
      </c>
      <c r="N77" s="4">
        <f>COUNTIF(SISR!N$3:N$80,"="&amp;'verif-jurys'!$C77)-N31</f>
        <v>0</v>
      </c>
      <c r="O77" s="4">
        <f>COUNTIF(SLAM!N$3:N$80,"="&amp;'verif-jurys'!$C77)-O31</f>
        <v>0</v>
      </c>
      <c r="P77" s="4">
        <f>COUNTIF(SISR!P$3:P$80,"="&amp;'verif-jurys'!$C77)-P31</f>
        <v>0</v>
      </c>
      <c r="Q77" s="4">
        <f>COUNTIF(SLAM!P$3:P$80,"="&amp;'verif-jurys'!$C77)-Q31</f>
        <v>0</v>
      </c>
      <c r="R77" s="4">
        <f>COUNTIF(SISR!R$3:R$80,"="&amp;'verif-jurys'!$C77)-R31</f>
        <v>0</v>
      </c>
      <c r="S77" s="4">
        <f>COUNTIF(SLAM!R$3:R$80,"="&amp;'verif-jurys'!$C77)-S31</f>
        <v>0</v>
      </c>
      <c r="T77" s="4">
        <f>COUNTIF(SISR!T$3:T$80,"="&amp;'verif-jurys'!$C77)-T31</f>
        <v>0</v>
      </c>
      <c r="U77" s="4">
        <f>COUNTIF(SLAM!T$3:T$80,"="&amp;'verif-jurys'!$C77)-U31</f>
        <v>0</v>
      </c>
      <c r="V77" s="4">
        <f>COUNTIF(SISR!V$3:V$80,"="&amp;'verif-jurys'!$C77)-V31</f>
        <v>0</v>
      </c>
      <c r="W77" s="4">
        <f>COUNTIF(SLAM!V$3:V$80,"="&amp;'verif-jurys'!$C77)-W31</f>
        <v>0</v>
      </c>
      <c r="X77" s="4">
        <f>COUNTIF(SISR!X$3:X$80,"="&amp;'verif-jurys'!$C77)-X31</f>
        <v>0</v>
      </c>
      <c r="Y77" s="4">
        <f>COUNTIF(SLAM!X$3:X$80,"="&amp;'verif-jurys'!$C77)-Y31</f>
        <v>0</v>
      </c>
      <c r="Z77" s="4">
        <f>COUNTIF(SISR!Z$3:Z$80,"="&amp;'verif-jurys'!$C77)-Z31</f>
        <v>0</v>
      </c>
      <c r="AA77" s="4">
        <f>COUNTIF(SLAM!Z$3:Z$80,"="&amp;'verif-jurys'!$C77)-AA31</f>
        <v>0</v>
      </c>
      <c r="AB77" s="4">
        <f>COUNTIF(SISR!AB$3:AB$80,"="&amp;'verif-jurys'!$C77)-AB31</f>
        <v>0</v>
      </c>
      <c r="AC77" s="4">
        <f>COUNTIF(SLAM!AB$3:AB$80,"="&amp;'verif-jurys'!$C77)-AC31</f>
        <v>0</v>
      </c>
      <c r="AD77" s="4">
        <f>COUNTIF(SISR!AD$3:AD$80,"="&amp;'verif-jurys'!$C77)-AD31</f>
        <v>0</v>
      </c>
      <c r="AE77" s="4">
        <f>COUNTIF(SLAM!AD$3:AD$80,"="&amp;'verif-jurys'!$C77)-AE31</f>
        <v>0</v>
      </c>
      <c r="AF77" s="4">
        <f>COUNTIF(SISR!AF$3:AF$80,"="&amp;'verif-jurys'!$C77)-AF31</f>
        <v>0</v>
      </c>
      <c r="AG77" s="4">
        <f>COUNTIF(SLAM!AF$3:AF$80,"="&amp;'verif-jurys'!$C77)-AG31</f>
        <v>0</v>
      </c>
      <c r="AH77" s="4">
        <f>COUNTIF(SISR!AH$3:AH$80,"="&amp;'verif-jurys'!$C77)-AH31</f>
        <v>0</v>
      </c>
      <c r="AI77" s="4">
        <f>COUNTIF(SLAM!AH$3:AH$80,"="&amp;'verif-jurys'!$C77)-AI31</f>
        <v>0</v>
      </c>
      <c r="AJ77" s="4">
        <f>COUNTIF(SISR!AJ$3:AJ$80,"="&amp;'verif-jurys'!$C77)-AJ31</f>
        <v>0</v>
      </c>
      <c r="AK77" s="4">
        <f>COUNTIF(SLAM!AJ$3:AJ$80,"="&amp;'verif-jurys'!$C77)-AK31</f>
        <v>0</v>
      </c>
      <c r="AL77" s="4" t="e">
        <f>COUNTIF(SISR!AL$3:AL$80,"="&amp;'verif-jurys'!$C77)-AL31</f>
        <v>#REF!</v>
      </c>
      <c r="AM77" s="4" t="e">
        <f>COUNTIF(SLAM!AL$3:AL$80,"="&amp;'verif-jurys'!$C77)-AM31</f>
        <v>#REF!</v>
      </c>
      <c r="AN77" s="4" t="e">
        <f>COUNTIF(SISR!AN$3:AN$80,"="&amp;'verif-jurys'!$C77)-AN31</f>
        <v>#REF!</v>
      </c>
      <c r="AO77" s="4" t="e">
        <f>COUNTIF(SLAM!AN$3:AN$80,"="&amp;'verif-jurys'!$C77)-AO31</f>
        <v>#REF!</v>
      </c>
    </row>
    <row r="78" spans="3:41" x14ac:dyDescent="0.25">
      <c r="C78" s="4" t="str">
        <f>'E4-2016'!E31</f>
        <v>LAN</v>
      </c>
      <c r="D78" s="4" t="str">
        <f>'E4-2016'!B31</f>
        <v>Lycee Geoffroy Saint Hilaire</v>
      </c>
      <c r="E78" s="4" t="str">
        <f>'E4-2016'!D31</f>
        <v>0910622G</v>
      </c>
      <c r="F78" s="4">
        <f>COUNTIF(SISR!F$3:F$80,"="&amp;'verif-jurys'!$C78)-F32</f>
        <v>0</v>
      </c>
      <c r="G78" s="4">
        <f>COUNTIF(SLAM!F$3:F$80,"="&amp;'verif-jurys'!$C78)-G32</f>
        <v>0</v>
      </c>
      <c r="H78" s="4">
        <f>COUNTIF(SISR!H$3:H$80,"="&amp;'verif-jurys'!$C78)-H32</f>
        <v>0</v>
      </c>
      <c r="I78" s="4">
        <f>COUNTIF(SLAM!H$3:H$80,"="&amp;'verif-jurys'!$C78)-I32</f>
        <v>0</v>
      </c>
      <c r="J78" s="4">
        <f>COUNTIF(SISR!J$3:J$80,"="&amp;'verif-jurys'!$C78)-J32</f>
        <v>0</v>
      </c>
      <c r="K78" s="4">
        <f>COUNTIF(SLAM!J$3:J$80,"="&amp;'verif-jurys'!$C78)-K32</f>
        <v>0</v>
      </c>
      <c r="L78" s="4">
        <f>COUNTIF(SISR!L$3:L$80,"="&amp;'verif-jurys'!$C78)-L32</f>
        <v>0</v>
      </c>
      <c r="M78" s="4">
        <f>COUNTIF(SLAM!L$3:L$80,"="&amp;'verif-jurys'!$C78)-M32</f>
        <v>0</v>
      </c>
      <c r="N78" s="4">
        <f>COUNTIF(SISR!N$3:N$80,"="&amp;'verif-jurys'!$C78)-N32</f>
        <v>-1</v>
      </c>
      <c r="O78" s="4">
        <f>COUNTIF(SLAM!N$3:N$80,"="&amp;'verif-jurys'!$C78)-O32</f>
        <v>-1</v>
      </c>
      <c r="P78" s="4">
        <f>COUNTIF(SISR!P$3:P$80,"="&amp;'verif-jurys'!$C78)-P32</f>
        <v>-1</v>
      </c>
      <c r="Q78" s="4">
        <f>COUNTIF(SLAM!P$3:P$80,"="&amp;'verif-jurys'!$C78)-Q32</f>
        <v>-1</v>
      </c>
      <c r="R78" s="4">
        <f>COUNTIF(SISR!R$3:R$80,"="&amp;'verif-jurys'!$C78)-R32</f>
        <v>-1</v>
      </c>
      <c r="S78" s="4">
        <f>COUNTIF(SLAM!R$3:R$80,"="&amp;'verif-jurys'!$C78)-S32</f>
        <v>-1</v>
      </c>
      <c r="T78" s="4">
        <f>COUNTIF(SISR!T$3:T$80,"="&amp;'verif-jurys'!$C78)-T32</f>
        <v>-1</v>
      </c>
      <c r="U78" s="4">
        <f>COUNTIF(SLAM!T$3:T$80,"="&amp;'verif-jurys'!$C78)-U32</f>
        <v>-1</v>
      </c>
      <c r="V78" s="4">
        <f>COUNTIF(SISR!V$3:V$80,"="&amp;'verif-jurys'!$C78)-V32</f>
        <v>-1</v>
      </c>
      <c r="W78" s="4">
        <f>COUNTIF(SLAM!V$3:V$80,"="&amp;'verif-jurys'!$C78)-W32</f>
        <v>-1</v>
      </c>
      <c r="X78" s="4">
        <f>COUNTIF(SISR!X$3:X$80,"="&amp;'verif-jurys'!$C78)-X32</f>
        <v>-1</v>
      </c>
      <c r="Y78" s="4">
        <f>COUNTIF(SLAM!X$3:X$80,"="&amp;'verif-jurys'!$C78)-Y32</f>
        <v>-1</v>
      </c>
      <c r="Z78" s="4">
        <f>COUNTIF(SISR!Z$3:Z$80,"="&amp;'verif-jurys'!$C78)-Z32</f>
        <v>-1</v>
      </c>
      <c r="AA78" s="4">
        <f>COUNTIF(SLAM!Z$3:Z$80,"="&amp;'verif-jurys'!$C78)-AA32</f>
        <v>-1</v>
      </c>
      <c r="AB78" s="4">
        <f>COUNTIF(SISR!AB$3:AB$80,"="&amp;'verif-jurys'!$C78)-AB32</f>
        <v>-1</v>
      </c>
      <c r="AC78" s="4">
        <f>COUNTIF(SLAM!AB$3:AB$80,"="&amp;'verif-jurys'!$C78)-AC32</f>
        <v>-1</v>
      </c>
      <c r="AD78" s="4">
        <f>COUNTIF(SISR!AD$3:AD$80,"="&amp;'verif-jurys'!$C78)-AD32</f>
        <v>-1</v>
      </c>
      <c r="AE78" s="4">
        <f>COUNTIF(SLAM!AD$3:AD$80,"="&amp;'verif-jurys'!$C78)-AE32</f>
        <v>-1</v>
      </c>
      <c r="AF78" s="4">
        <f>COUNTIF(SISR!AF$3:AF$80,"="&amp;'verif-jurys'!$C78)-AF32</f>
        <v>-1</v>
      </c>
      <c r="AG78" s="4">
        <f>COUNTIF(SLAM!AF$3:AF$80,"="&amp;'verif-jurys'!$C78)-AG32</f>
        <v>-1</v>
      </c>
      <c r="AH78" s="4">
        <f>COUNTIF(SISR!AH$3:AH$80,"="&amp;'verif-jurys'!$C78)-AH32</f>
        <v>-1</v>
      </c>
      <c r="AI78" s="4">
        <f>COUNTIF(SLAM!AH$3:AH$80,"="&amp;'verif-jurys'!$C78)-AI32</f>
        <v>-1</v>
      </c>
      <c r="AJ78" s="4">
        <f>COUNTIF(SISR!AJ$3:AJ$80,"="&amp;'verif-jurys'!$C78)-AJ32</f>
        <v>-1</v>
      </c>
      <c r="AK78" s="4">
        <f>COUNTIF(SLAM!AJ$3:AJ$80,"="&amp;'verif-jurys'!$C78)-AK32</f>
        <v>-1</v>
      </c>
      <c r="AL78" s="4" t="e">
        <f>COUNTIF(SISR!AL$3:AL$80,"="&amp;'verif-jurys'!$C78)-AL32</f>
        <v>#REF!</v>
      </c>
      <c r="AM78" s="4" t="e">
        <f>COUNTIF(SLAM!AL$3:AL$80,"="&amp;'verif-jurys'!$C78)-AM32</f>
        <v>#REF!</v>
      </c>
      <c r="AN78" s="4" t="e">
        <f>COUNTIF(SISR!AN$3:AN$80,"="&amp;'verif-jurys'!$C78)-AN32</f>
        <v>#REF!</v>
      </c>
      <c r="AO78" s="4" t="e">
        <f>COUNTIF(SLAM!AN$3:AN$80,"="&amp;'verif-jurys'!$C78)-AO32</f>
        <v>#REF!</v>
      </c>
    </row>
    <row r="79" spans="3:41" x14ac:dyDescent="0.25">
      <c r="C79" s="4" t="str">
        <f>'E4-2016'!E32</f>
        <v>ITIS</v>
      </c>
      <c r="D79" s="4" t="str">
        <f>'E4-2016'!B32</f>
        <v>ITIS</v>
      </c>
      <c r="E79" s="4" t="str">
        <f>'E4-2016'!D32</f>
        <v>0911864G</v>
      </c>
      <c r="F79" s="4">
        <f>COUNTIF(SISR!F$3:F$80,"="&amp;'verif-jurys'!$C79)-F33</f>
        <v>0</v>
      </c>
      <c r="G79" s="4">
        <f>COUNTIF(SLAM!F$3:F$80,"="&amp;'verif-jurys'!$C79)-G33</f>
        <v>0</v>
      </c>
      <c r="H79" s="4">
        <f>COUNTIF(SISR!H$3:H$80,"="&amp;'verif-jurys'!$C79)-H33</f>
        <v>0</v>
      </c>
      <c r="I79" s="4">
        <f>COUNTIF(SLAM!H$3:H$80,"="&amp;'verif-jurys'!$C79)-I33</f>
        <v>0</v>
      </c>
      <c r="J79" s="4">
        <f>COUNTIF(SISR!J$3:J$80,"="&amp;'verif-jurys'!$C79)-J33</f>
        <v>0</v>
      </c>
      <c r="K79" s="4">
        <f>COUNTIF(SLAM!J$3:J$80,"="&amp;'verif-jurys'!$C79)-K33</f>
        <v>0</v>
      </c>
      <c r="L79" s="4">
        <f>COUNTIF(SISR!L$3:L$80,"="&amp;'verif-jurys'!$C79)-L33</f>
        <v>-1</v>
      </c>
      <c r="M79" s="4">
        <f>COUNTIF(SLAM!L$3:L$80,"="&amp;'verif-jurys'!$C79)-M33</f>
        <v>-1</v>
      </c>
      <c r="N79" s="4">
        <f>COUNTIF(SISR!N$3:N$80,"="&amp;'verif-jurys'!$C79)-N33</f>
        <v>0</v>
      </c>
      <c r="O79" s="4">
        <f>COUNTIF(SLAM!N$3:N$80,"="&amp;'verif-jurys'!$C79)-O33</f>
        <v>0</v>
      </c>
      <c r="P79" s="4">
        <f>COUNTIF(SISR!P$3:P$80,"="&amp;'verif-jurys'!$C79)-P33</f>
        <v>0</v>
      </c>
      <c r="Q79" s="4">
        <f>COUNTIF(SLAM!P$3:P$80,"="&amp;'verif-jurys'!$C79)-Q33</f>
        <v>0</v>
      </c>
      <c r="R79" s="4">
        <f>COUNTIF(SISR!R$3:R$80,"="&amp;'verif-jurys'!$C79)-R33</f>
        <v>0</v>
      </c>
      <c r="S79" s="4">
        <f>COUNTIF(SLAM!R$3:R$80,"="&amp;'verif-jurys'!$C79)-S33</f>
        <v>0</v>
      </c>
      <c r="T79" s="4">
        <f>COUNTIF(SISR!T$3:T$80,"="&amp;'verif-jurys'!$C79)-T33</f>
        <v>0</v>
      </c>
      <c r="U79" s="4">
        <f>COUNTIF(SLAM!T$3:T$80,"="&amp;'verif-jurys'!$C79)-U33</f>
        <v>0</v>
      </c>
      <c r="V79" s="4">
        <f>COUNTIF(SISR!V$3:V$80,"="&amp;'verif-jurys'!$C79)-V33</f>
        <v>0</v>
      </c>
      <c r="W79" s="4">
        <f>COUNTIF(SLAM!V$3:V$80,"="&amp;'verif-jurys'!$C79)-W33</f>
        <v>0</v>
      </c>
      <c r="X79" s="4">
        <f>COUNTIF(SISR!X$3:X$80,"="&amp;'verif-jurys'!$C79)-X33</f>
        <v>0</v>
      </c>
      <c r="Y79" s="4">
        <f>COUNTIF(SLAM!X$3:X$80,"="&amp;'verif-jurys'!$C79)-Y33</f>
        <v>0</v>
      </c>
      <c r="Z79" s="4">
        <f>COUNTIF(SISR!Z$3:Z$80,"="&amp;'verif-jurys'!$C79)-Z33</f>
        <v>0</v>
      </c>
      <c r="AA79" s="4">
        <f>COUNTIF(SLAM!Z$3:Z$80,"="&amp;'verif-jurys'!$C79)-AA33</f>
        <v>0</v>
      </c>
      <c r="AB79" s="4">
        <f>COUNTIF(SISR!AB$3:AB$80,"="&amp;'verif-jurys'!$C79)-AB33</f>
        <v>0</v>
      </c>
      <c r="AC79" s="4">
        <f>COUNTIF(SLAM!AB$3:AB$80,"="&amp;'verif-jurys'!$C79)-AC33</f>
        <v>0</v>
      </c>
      <c r="AD79" s="4">
        <f>COUNTIF(SISR!AD$3:AD$80,"="&amp;'verif-jurys'!$C79)-AD33</f>
        <v>0</v>
      </c>
      <c r="AE79" s="4">
        <f>COUNTIF(SLAM!AD$3:AD$80,"="&amp;'verif-jurys'!$C79)-AE33</f>
        <v>0</v>
      </c>
      <c r="AF79" s="4">
        <f>COUNTIF(SISR!AF$3:AF$80,"="&amp;'verif-jurys'!$C79)-AF33</f>
        <v>0</v>
      </c>
      <c r="AG79" s="4">
        <f>COUNTIF(SLAM!AF$3:AF$80,"="&amp;'verif-jurys'!$C79)-AG33</f>
        <v>0</v>
      </c>
      <c r="AH79" s="4">
        <f>COUNTIF(SISR!AH$3:AH$80,"="&amp;'verif-jurys'!$C79)-AH33</f>
        <v>0</v>
      </c>
      <c r="AI79" s="4">
        <f>COUNTIF(SLAM!AH$3:AH$80,"="&amp;'verif-jurys'!$C79)-AI33</f>
        <v>0</v>
      </c>
      <c r="AJ79" s="4">
        <f>COUNTIF(SISR!AJ$3:AJ$80,"="&amp;'verif-jurys'!$C79)-AJ33</f>
        <v>0</v>
      </c>
      <c r="AK79" s="4">
        <f>COUNTIF(SLAM!AJ$3:AJ$80,"="&amp;'verif-jurys'!$C79)-AK33</f>
        <v>0</v>
      </c>
      <c r="AL79" s="4" t="e">
        <f>COUNTIF(SISR!AL$3:AL$80,"="&amp;'verif-jurys'!$C79)-AL33</f>
        <v>#REF!</v>
      </c>
      <c r="AM79" s="4" t="e">
        <f>COUNTIF(SLAM!AL$3:AL$80,"="&amp;'verif-jurys'!$C79)-AM33</f>
        <v>#REF!</v>
      </c>
      <c r="AN79" s="4" t="e">
        <f>COUNTIF(SISR!AN$3:AN$80,"="&amp;'verif-jurys'!$C79)-AN33</f>
        <v>#REF!</v>
      </c>
      <c r="AO79" s="4" t="e">
        <f>COUNTIF(SLAM!AN$3:AN$80,"="&amp;'verif-jurys'!$C79)-AO33</f>
        <v>#REF!</v>
      </c>
    </row>
    <row r="80" spans="3:41" x14ac:dyDescent="0.25">
      <c r="C80" s="4" t="str">
        <f>'E4-2016'!E33</f>
        <v>CEVE</v>
      </c>
      <c r="D80" s="4" t="str">
        <f>'E4-2016'!B33</f>
        <v>CFA EVE</v>
      </c>
      <c r="E80" s="4" t="str">
        <f>'E4-2016'!D33</f>
        <v>0912119J</v>
      </c>
      <c r="F80" s="4">
        <f>COUNTIF(SISR!F$3:F$80,"="&amp;'verif-jurys'!$C80)-F34</f>
        <v>0</v>
      </c>
      <c r="G80" s="4">
        <f>COUNTIF(SLAM!F$3:F$80,"="&amp;'verif-jurys'!$C80)-G34</f>
        <v>0</v>
      </c>
      <c r="H80" s="4">
        <f>COUNTIF(SISR!H$3:H$80,"="&amp;'verif-jurys'!$C80)-H34</f>
        <v>0</v>
      </c>
      <c r="I80" s="4">
        <f>COUNTIF(SLAM!H$3:H$80,"="&amp;'verif-jurys'!$C80)-I34</f>
        <v>0</v>
      </c>
      <c r="J80" s="4">
        <f>COUNTIF(SISR!J$3:J$80,"="&amp;'verif-jurys'!$C80)-J34</f>
        <v>0</v>
      </c>
      <c r="K80" s="4">
        <f>COUNTIF(SLAM!J$3:J$80,"="&amp;'verif-jurys'!$C80)-K34</f>
        <v>0</v>
      </c>
      <c r="L80" s="4">
        <f>COUNTIF(SISR!L$3:L$80,"="&amp;'verif-jurys'!$C80)-L34</f>
        <v>0</v>
      </c>
      <c r="M80" s="4">
        <f>COUNTIF(SLAM!L$3:L$80,"="&amp;'verif-jurys'!$C80)-M34</f>
        <v>0</v>
      </c>
      <c r="N80" s="4">
        <f>COUNTIF(SISR!N$3:N$80,"="&amp;'verif-jurys'!$C80)-N34</f>
        <v>0</v>
      </c>
      <c r="O80" s="4">
        <f>COUNTIF(SLAM!N$3:N$80,"="&amp;'verif-jurys'!$C80)-O34</f>
        <v>0</v>
      </c>
      <c r="P80" s="4">
        <f>COUNTIF(SISR!P$3:P$80,"="&amp;'verif-jurys'!$C80)-P34</f>
        <v>0</v>
      </c>
      <c r="Q80" s="4">
        <f>COUNTIF(SLAM!P$3:P$80,"="&amp;'verif-jurys'!$C80)-Q34</f>
        <v>0</v>
      </c>
      <c r="R80" s="4">
        <f>COUNTIF(SISR!R$3:R$80,"="&amp;'verif-jurys'!$C80)-R34</f>
        <v>0</v>
      </c>
      <c r="S80" s="4">
        <f>COUNTIF(SLAM!R$3:R$80,"="&amp;'verif-jurys'!$C80)-S34</f>
        <v>0</v>
      </c>
      <c r="T80" s="4">
        <f>COUNTIF(SISR!T$3:T$80,"="&amp;'verif-jurys'!$C80)-T34</f>
        <v>0</v>
      </c>
      <c r="U80" s="4">
        <f>COUNTIF(SLAM!T$3:T$80,"="&amp;'verif-jurys'!$C80)-U34</f>
        <v>0</v>
      </c>
      <c r="V80" s="4">
        <f>COUNTIF(SISR!V$3:V$80,"="&amp;'verif-jurys'!$C80)-V34</f>
        <v>0</v>
      </c>
      <c r="W80" s="4">
        <f>COUNTIF(SLAM!V$3:V$80,"="&amp;'verif-jurys'!$C80)-W34</f>
        <v>0</v>
      </c>
      <c r="X80" s="4">
        <f>COUNTIF(SISR!X$3:X$80,"="&amp;'verif-jurys'!$C80)-X34</f>
        <v>0</v>
      </c>
      <c r="Y80" s="4">
        <f>COUNTIF(SLAM!X$3:X$80,"="&amp;'verif-jurys'!$C80)-Y34</f>
        <v>0</v>
      </c>
      <c r="Z80" s="4">
        <f>COUNTIF(SISR!Z$3:Z$80,"="&amp;'verif-jurys'!$C80)-Z34</f>
        <v>0</v>
      </c>
      <c r="AA80" s="4">
        <f>COUNTIF(SLAM!Z$3:Z$80,"="&amp;'verif-jurys'!$C80)-AA34</f>
        <v>0</v>
      </c>
      <c r="AB80" s="4">
        <f>COUNTIF(SISR!AB$3:AB$80,"="&amp;'verif-jurys'!$C80)-AB34</f>
        <v>0</v>
      </c>
      <c r="AC80" s="4">
        <f>COUNTIF(SLAM!AB$3:AB$80,"="&amp;'verif-jurys'!$C80)-AC34</f>
        <v>0</v>
      </c>
      <c r="AD80" s="4">
        <f>COUNTIF(SISR!AD$3:AD$80,"="&amp;'verif-jurys'!$C80)-AD34</f>
        <v>0</v>
      </c>
      <c r="AE80" s="4">
        <f>COUNTIF(SLAM!AD$3:AD$80,"="&amp;'verif-jurys'!$C80)-AE34</f>
        <v>0</v>
      </c>
      <c r="AF80" s="4">
        <f>COUNTIF(SISR!AF$3:AF$80,"="&amp;'verif-jurys'!$C80)-AF34</f>
        <v>0</v>
      </c>
      <c r="AG80" s="4">
        <f>COUNTIF(SLAM!AF$3:AF$80,"="&amp;'verif-jurys'!$C80)-AG34</f>
        <v>0</v>
      </c>
      <c r="AH80" s="4">
        <f>COUNTIF(SISR!AH$3:AH$80,"="&amp;'verif-jurys'!$C80)-AH34</f>
        <v>0</v>
      </c>
      <c r="AI80" s="4">
        <f>COUNTIF(SLAM!AH$3:AH$80,"="&amp;'verif-jurys'!$C80)-AI34</f>
        <v>0</v>
      </c>
      <c r="AJ80" s="4">
        <f>COUNTIF(SISR!AJ$3:AJ$80,"="&amp;'verif-jurys'!$C80)-AJ34</f>
        <v>0</v>
      </c>
      <c r="AK80" s="4">
        <f>COUNTIF(SLAM!AJ$3:AJ$80,"="&amp;'verif-jurys'!$C80)-AK34</f>
        <v>0</v>
      </c>
      <c r="AL80" s="4" t="e">
        <f>COUNTIF(SISR!AL$3:AL$80,"="&amp;'verif-jurys'!$C80)-AL34</f>
        <v>#REF!</v>
      </c>
      <c r="AM80" s="4" t="e">
        <f>COUNTIF(SLAM!AL$3:AL$80,"="&amp;'verif-jurys'!$C80)-AM34</f>
        <v>#REF!</v>
      </c>
      <c r="AN80" s="4" t="e">
        <f>COUNTIF(SISR!AN$3:AN$80,"="&amp;'verif-jurys'!$C80)-AN34</f>
        <v>#REF!</v>
      </c>
      <c r="AO80" s="4" t="e">
        <f>COUNTIF(SLAM!AN$3:AN$80,"="&amp;'verif-jurys'!$C80)-AO34</f>
        <v>#REF!</v>
      </c>
    </row>
    <row r="81" spans="3:41" x14ac:dyDescent="0.25">
      <c r="C81" s="4" t="str">
        <f>'E4-2016'!E34</f>
        <v>FDM</v>
      </c>
      <c r="D81" s="4" t="str">
        <f>'E4-2016'!B34</f>
        <v>CFA Faculté des métiers</v>
      </c>
      <c r="E81" s="4" t="str">
        <f>'E4-2016'!D34</f>
        <v>0912263R</v>
      </c>
      <c r="F81" s="4">
        <f>COUNTIF(SISR!F$3:F$80,"="&amp;'verif-jurys'!$C81)-F35</f>
        <v>0</v>
      </c>
      <c r="G81" s="4">
        <f>COUNTIF(SLAM!F$3:F$80,"="&amp;'verif-jurys'!$C81)-G35</f>
        <v>0</v>
      </c>
      <c r="H81" s="4">
        <f>COUNTIF(SISR!H$3:H$80,"="&amp;'verif-jurys'!$C81)-H35</f>
        <v>0</v>
      </c>
      <c r="I81" s="4">
        <f>COUNTIF(SLAM!H$3:H$80,"="&amp;'verif-jurys'!$C81)-I35</f>
        <v>0</v>
      </c>
      <c r="J81" s="4">
        <f>COUNTIF(SISR!J$3:J$80,"="&amp;'verif-jurys'!$C81)-J35</f>
        <v>0</v>
      </c>
      <c r="K81" s="4">
        <f>COUNTIF(SLAM!J$3:J$80,"="&amp;'verif-jurys'!$C81)-K35</f>
        <v>0</v>
      </c>
      <c r="L81" s="4">
        <f>COUNTIF(SISR!L$3:L$80,"="&amp;'verif-jurys'!$C81)-L35</f>
        <v>0</v>
      </c>
      <c r="M81" s="4">
        <f>COUNTIF(SLAM!L$3:L$80,"="&amp;'verif-jurys'!$C81)-M35</f>
        <v>0</v>
      </c>
      <c r="N81" s="4">
        <f>COUNTIF(SISR!N$3:N$80,"="&amp;'verif-jurys'!$C81)-N35</f>
        <v>0</v>
      </c>
      <c r="O81" s="4">
        <f>COUNTIF(SLAM!N$3:N$80,"="&amp;'verif-jurys'!$C81)-O35</f>
        <v>0</v>
      </c>
      <c r="P81" s="4">
        <f>COUNTIF(SISR!P$3:P$80,"="&amp;'verif-jurys'!$C81)-P35</f>
        <v>0</v>
      </c>
      <c r="Q81" s="4">
        <f>COUNTIF(SLAM!P$3:P$80,"="&amp;'verif-jurys'!$C81)-Q35</f>
        <v>0</v>
      </c>
      <c r="R81" s="4">
        <f>COUNTIF(SISR!R$3:R$80,"="&amp;'verif-jurys'!$C81)-R35</f>
        <v>0</v>
      </c>
      <c r="S81" s="4">
        <f>COUNTIF(SLAM!R$3:R$80,"="&amp;'verif-jurys'!$C81)-S35</f>
        <v>0</v>
      </c>
      <c r="T81" s="4">
        <f>COUNTIF(SISR!T$3:T$80,"="&amp;'verif-jurys'!$C81)-T35</f>
        <v>0</v>
      </c>
      <c r="U81" s="4">
        <f>COUNTIF(SLAM!T$3:T$80,"="&amp;'verif-jurys'!$C81)-U35</f>
        <v>0</v>
      </c>
      <c r="V81" s="4">
        <f>COUNTIF(SISR!V$3:V$80,"="&amp;'verif-jurys'!$C81)-V35</f>
        <v>0</v>
      </c>
      <c r="W81" s="4">
        <f>COUNTIF(SLAM!V$3:V$80,"="&amp;'verif-jurys'!$C81)-W35</f>
        <v>0</v>
      </c>
      <c r="X81" s="4">
        <f>COUNTIF(SISR!X$3:X$80,"="&amp;'verif-jurys'!$C81)-X35</f>
        <v>0</v>
      </c>
      <c r="Y81" s="4">
        <f>COUNTIF(SLAM!X$3:X$80,"="&amp;'verif-jurys'!$C81)-Y35</f>
        <v>0</v>
      </c>
      <c r="Z81" s="4">
        <f>COUNTIF(SISR!Z$3:Z$80,"="&amp;'verif-jurys'!$C81)-Z35</f>
        <v>0</v>
      </c>
      <c r="AA81" s="4">
        <f>COUNTIF(SLAM!Z$3:Z$80,"="&amp;'verif-jurys'!$C81)-AA35</f>
        <v>0</v>
      </c>
      <c r="AB81" s="4">
        <f>COUNTIF(SISR!AB$3:AB$80,"="&amp;'verif-jurys'!$C81)-AB35</f>
        <v>0</v>
      </c>
      <c r="AC81" s="4">
        <f>COUNTIF(SLAM!AB$3:AB$80,"="&amp;'verif-jurys'!$C81)-AC35</f>
        <v>0</v>
      </c>
      <c r="AD81" s="4">
        <f>COUNTIF(SISR!AD$3:AD$80,"="&amp;'verif-jurys'!$C81)-AD35</f>
        <v>0</v>
      </c>
      <c r="AE81" s="4">
        <f>COUNTIF(SLAM!AD$3:AD$80,"="&amp;'verif-jurys'!$C81)-AE35</f>
        <v>0</v>
      </c>
      <c r="AF81" s="4">
        <f>COUNTIF(SISR!AF$3:AF$80,"="&amp;'verif-jurys'!$C81)-AF35</f>
        <v>0</v>
      </c>
      <c r="AG81" s="4">
        <f>COUNTIF(SLAM!AF$3:AF$80,"="&amp;'verif-jurys'!$C81)-AG35</f>
        <v>0</v>
      </c>
      <c r="AH81" s="4">
        <f>COUNTIF(SISR!AH$3:AH$80,"="&amp;'verif-jurys'!$C81)-AH35</f>
        <v>0</v>
      </c>
      <c r="AI81" s="4">
        <f>COUNTIF(SLAM!AH$3:AH$80,"="&amp;'verif-jurys'!$C81)-AI35</f>
        <v>0</v>
      </c>
      <c r="AJ81" s="4">
        <f>COUNTIF(SISR!AJ$3:AJ$80,"="&amp;'verif-jurys'!$C81)-AJ35</f>
        <v>0</v>
      </c>
      <c r="AK81" s="4">
        <f>COUNTIF(SLAM!AJ$3:AJ$80,"="&amp;'verif-jurys'!$C81)-AK35</f>
        <v>0</v>
      </c>
      <c r="AL81" s="4" t="e">
        <f>COUNTIF(SISR!AL$3:AL$80,"="&amp;'verif-jurys'!$C81)-AL35</f>
        <v>#REF!</v>
      </c>
      <c r="AM81" s="4" t="e">
        <f>COUNTIF(SLAM!AL$3:AL$80,"="&amp;'verif-jurys'!$C81)-AM35</f>
        <v>#REF!</v>
      </c>
      <c r="AN81" s="4" t="e">
        <f>COUNTIF(SISR!AN$3:AN$80,"="&amp;'verif-jurys'!$C81)-AN35</f>
        <v>#REF!</v>
      </c>
      <c r="AO81" s="4" t="e">
        <f>COUNTIF(SLAM!AN$3:AN$80,"="&amp;'verif-jurys'!$C81)-AO35</f>
        <v>#REF!</v>
      </c>
    </row>
    <row r="82" spans="3:41" x14ac:dyDescent="0.25">
      <c r="C82" s="4" t="str">
        <f>'E4-2016'!E35</f>
        <v>AFOR</v>
      </c>
      <c r="D82" s="4" t="str">
        <f>'E4-2016'!B35</f>
        <v>AFORP</v>
      </c>
      <c r="E82" s="4" t="str">
        <f>'E4-2016'!D35</f>
        <v>0921274K</v>
      </c>
      <c r="F82" s="4">
        <f>COUNTIF(SISR!F$3:F$80,"="&amp;'verif-jurys'!$C82)-F36</f>
        <v>0</v>
      </c>
      <c r="G82" s="4">
        <f>COUNTIF(SLAM!F$3:F$80,"="&amp;'verif-jurys'!$C82)-G36</f>
        <v>0</v>
      </c>
      <c r="H82" s="4">
        <f>COUNTIF(SISR!H$3:H$80,"="&amp;'verif-jurys'!$C82)-H36</f>
        <v>0</v>
      </c>
      <c r="I82" s="4">
        <f>COUNTIF(SLAM!H$3:H$80,"="&amp;'verif-jurys'!$C82)-I36</f>
        <v>0</v>
      </c>
      <c r="J82" s="4">
        <f>COUNTIF(SISR!J$3:J$80,"="&amp;'verif-jurys'!$C82)-J36</f>
        <v>0</v>
      </c>
      <c r="K82" s="4">
        <f>COUNTIF(SLAM!J$3:J$80,"="&amp;'verif-jurys'!$C82)-K36</f>
        <v>0</v>
      </c>
      <c r="L82" s="4">
        <f>COUNTIF(SISR!L$3:L$80,"="&amp;'verif-jurys'!$C82)-L36</f>
        <v>0</v>
      </c>
      <c r="M82" s="4">
        <f>COUNTIF(SLAM!L$3:L$80,"="&amp;'verif-jurys'!$C82)-M36</f>
        <v>0</v>
      </c>
      <c r="N82" s="4">
        <f>COUNTIF(SISR!N$3:N$80,"="&amp;'verif-jurys'!$C82)-N36</f>
        <v>0</v>
      </c>
      <c r="O82" s="4">
        <f>COUNTIF(SLAM!N$3:N$80,"="&amp;'verif-jurys'!$C82)-O36</f>
        <v>0</v>
      </c>
      <c r="P82" s="4">
        <f>COUNTIF(SISR!P$3:P$80,"="&amp;'verif-jurys'!$C82)-P36</f>
        <v>0</v>
      </c>
      <c r="Q82" s="4">
        <f>COUNTIF(SLAM!P$3:P$80,"="&amp;'verif-jurys'!$C82)-Q36</f>
        <v>0</v>
      </c>
      <c r="R82" s="4">
        <f>COUNTIF(SISR!R$3:R$80,"="&amp;'verif-jurys'!$C82)-R36</f>
        <v>0</v>
      </c>
      <c r="S82" s="4">
        <f>COUNTIF(SLAM!R$3:R$80,"="&amp;'verif-jurys'!$C82)-S36</f>
        <v>0</v>
      </c>
      <c r="T82" s="4">
        <f>COUNTIF(SISR!T$3:T$80,"="&amp;'verif-jurys'!$C82)-T36</f>
        <v>0</v>
      </c>
      <c r="U82" s="4">
        <f>COUNTIF(SLAM!T$3:T$80,"="&amp;'verif-jurys'!$C82)-U36</f>
        <v>0</v>
      </c>
      <c r="V82" s="4">
        <f>COUNTIF(SISR!V$3:V$80,"="&amp;'verif-jurys'!$C82)-V36</f>
        <v>0</v>
      </c>
      <c r="W82" s="4">
        <f>COUNTIF(SLAM!V$3:V$80,"="&amp;'verif-jurys'!$C82)-W36</f>
        <v>0</v>
      </c>
      <c r="X82" s="4">
        <f>COUNTIF(SISR!X$3:X$80,"="&amp;'verif-jurys'!$C82)-X36</f>
        <v>0</v>
      </c>
      <c r="Y82" s="4">
        <f>COUNTIF(SLAM!X$3:X$80,"="&amp;'verif-jurys'!$C82)-Y36</f>
        <v>0</v>
      </c>
      <c r="Z82" s="4">
        <f>COUNTIF(SISR!Z$3:Z$80,"="&amp;'verif-jurys'!$C82)-Z36</f>
        <v>0</v>
      </c>
      <c r="AA82" s="4">
        <f>COUNTIF(SLAM!Z$3:Z$80,"="&amp;'verif-jurys'!$C82)-AA36</f>
        <v>0</v>
      </c>
      <c r="AB82" s="4">
        <f>COUNTIF(SISR!AB$3:AB$80,"="&amp;'verif-jurys'!$C82)-AB36</f>
        <v>0</v>
      </c>
      <c r="AC82" s="4">
        <f>COUNTIF(SLAM!AB$3:AB$80,"="&amp;'verif-jurys'!$C82)-AC36</f>
        <v>0</v>
      </c>
      <c r="AD82" s="4">
        <f>COUNTIF(SISR!AD$3:AD$80,"="&amp;'verif-jurys'!$C82)-AD36</f>
        <v>0</v>
      </c>
      <c r="AE82" s="4">
        <f>COUNTIF(SLAM!AD$3:AD$80,"="&amp;'verif-jurys'!$C82)-AE36</f>
        <v>0</v>
      </c>
      <c r="AF82" s="4">
        <f>COUNTIF(SISR!AF$3:AF$80,"="&amp;'verif-jurys'!$C82)-AF36</f>
        <v>0</v>
      </c>
      <c r="AG82" s="4">
        <f>COUNTIF(SLAM!AF$3:AF$80,"="&amp;'verif-jurys'!$C82)-AG36</f>
        <v>0</v>
      </c>
      <c r="AH82" s="4">
        <f>COUNTIF(SISR!AH$3:AH$80,"="&amp;'verif-jurys'!$C82)-AH36</f>
        <v>0</v>
      </c>
      <c r="AI82" s="4">
        <f>COUNTIF(SLAM!AH$3:AH$80,"="&amp;'verif-jurys'!$C82)-AI36</f>
        <v>0</v>
      </c>
      <c r="AJ82" s="4">
        <f>COUNTIF(SISR!AJ$3:AJ$80,"="&amp;'verif-jurys'!$C82)-AJ36</f>
        <v>0</v>
      </c>
      <c r="AK82" s="4">
        <f>COUNTIF(SLAM!AJ$3:AJ$80,"="&amp;'verif-jurys'!$C82)-AK36</f>
        <v>0</v>
      </c>
      <c r="AL82" s="4" t="e">
        <f>COUNTIF(SISR!AL$3:AL$80,"="&amp;'verif-jurys'!$C82)-AL36</f>
        <v>#REF!</v>
      </c>
      <c r="AM82" s="4" t="e">
        <f>COUNTIF(SLAM!AL$3:AL$80,"="&amp;'verif-jurys'!$C82)-AM36</f>
        <v>#REF!</v>
      </c>
      <c r="AN82" s="4" t="e">
        <f>COUNTIF(SISR!AN$3:AN$80,"="&amp;'verif-jurys'!$C82)-AN36</f>
        <v>#REF!</v>
      </c>
      <c r="AO82" s="4" t="e">
        <f>COUNTIF(SLAM!AN$3:AN$80,"="&amp;'verif-jurys'!$C82)-AO36</f>
        <v>#REF!</v>
      </c>
    </row>
    <row r="83" spans="3:41" x14ac:dyDescent="0.25">
      <c r="C83" s="4" t="str">
        <f>'E4-2016'!E36</f>
        <v>EPSI</v>
      </c>
      <c r="D83" s="4" t="str">
        <f>'E4-2016'!B36</f>
        <v>EPSI</v>
      </c>
      <c r="E83" s="4" t="str">
        <f>'E4-2016'!D36</f>
        <v>0922467G</v>
      </c>
      <c r="F83" s="4">
        <f>COUNTIF(SISR!F$3:F$80,"="&amp;'verif-jurys'!$C83)-F37</f>
        <v>0</v>
      </c>
      <c r="G83" s="4">
        <f>COUNTIF(SLAM!F$3:F$80,"="&amp;'verif-jurys'!$C83)-G37</f>
        <v>0</v>
      </c>
      <c r="H83" s="4">
        <f>COUNTIF(SISR!H$3:H$80,"="&amp;'verif-jurys'!$C83)-H37</f>
        <v>0</v>
      </c>
      <c r="I83" s="4">
        <f>COUNTIF(SLAM!H$3:H$80,"="&amp;'verif-jurys'!$C83)-I37</f>
        <v>0</v>
      </c>
      <c r="J83" s="4">
        <f>COUNTIF(SISR!J$3:J$80,"="&amp;'verif-jurys'!$C83)-J37</f>
        <v>0</v>
      </c>
      <c r="K83" s="4">
        <f>COUNTIF(SLAM!J$3:J$80,"="&amp;'verif-jurys'!$C83)-K37</f>
        <v>0</v>
      </c>
      <c r="L83" s="4">
        <f>COUNTIF(SISR!L$3:L$80,"="&amp;'verif-jurys'!$C83)-L37</f>
        <v>0</v>
      </c>
      <c r="M83" s="4">
        <f>COUNTIF(SLAM!L$3:L$80,"="&amp;'verif-jurys'!$C83)-M37</f>
        <v>0</v>
      </c>
      <c r="N83" s="4">
        <f>COUNTIF(SISR!N$3:N$80,"="&amp;'verif-jurys'!$C83)-N37</f>
        <v>0</v>
      </c>
      <c r="O83" s="4">
        <f>COUNTIF(SLAM!N$3:N$80,"="&amp;'verif-jurys'!$C83)-O37</f>
        <v>0</v>
      </c>
      <c r="P83" s="4">
        <f>COUNTIF(SISR!P$3:P$80,"="&amp;'verif-jurys'!$C83)-P37</f>
        <v>0</v>
      </c>
      <c r="Q83" s="4">
        <f>COUNTIF(SLAM!P$3:P$80,"="&amp;'verif-jurys'!$C83)-Q37</f>
        <v>0</v>
      </c>
      <c r="R83" s="4">
        <f>COUNTIF(SISR!R$3:R$80,"="&amp;'verif-jurys'!$C83)-R37</f>
        <v>0</v>
      </c>
      <c r="S83" s="4">
        <f>COUNTIF(SLAM!R$3:R$80,"="&amp;'verif-jurys'!$C83)-S37</f>
        <v>0</v>
      </c>
      <c r="T83" s="4">
        <f>COUNTIF(SISR!T$3:T$80,"="&amp;'verif-jurys'!$C83)-T37</f>
        <v>0</v>
      </c>
      <c r="U83" s="4">
        <f>COUNTIF(SLAM!T$3:T$80,"="&amp;'verif-jurys'!$C83)-U37</f>
        <v>0</v>
      </c>
      <c r="V83" s="4">
        <f>COUNTIF(SISR!V$3:V$80,"="&amp;'verif-jurys'!$C83)-V37</f>
        <v>0</v>
      </c>
      <c r="W83" s="4">
        <f>COUNTIF(SLAM!V$3:V$80,"="&amp;'verif-jurys'!$C83)-W37</f>
        <v>0</v>
      </c>
      <c r="X83" s="4">
        <f>COUNTIF(SISR!X$3:X$80,"="&amp;'verif-jurys'!$C83)-X37</f>
        <v>0</v>
      </c>
      <c r="Y83" s="4">
        <f>COUNTIF(SLAM!X$3:X$80,"="&amp;'verif-jurys'!$C83)-Y37</f>
        <v>0</v>
      </c>
      <c r="Z83" s="4">
        <f>COUNTIF(SISR!Z$3:Z$80,"="&amp;'verif-jurys'!$C83)-Z37</f>
        <v>0</v>
      </c>
      <c r="AA83" s="4">
        <f>COUNTIF(SLAM!Z$3:Z$80,"="&amp;'verif-jurys'!$C83)-AA37</f>
        <v>0</v>
      </c>
      <c r="AB83" s="4">
        <f>COUNTIF(SISR!AB$3:AB$80,"="&amp;'verif-jurys'!$C83)-AB37</f>
        <v>0</v>
      </c>
      <c r="AC83" s="4">
        <f>COUNTIF(SLAM!AB$3:AB$80,"="&amp;'verif-jurys'!$C83)-AC37</f>
        <v>0</v>
      </c>
      <c r="AD83" s="4">
        <f>COUNTIF(SISR!AD$3:AD$80,"="&amp;'verif-jurys'!$C83)-AD37</f>
        <v>0</v>
      </c>
      <c r="AE83" s="4">
        <f>COUNTIF(SLAM!AD$3:AD$80,"="&amp;'verif-jurys'!$C83)-AE37</f>
        <v>0</v>
      </c>
      <c r="AF83" s="4">
        <f>COUNTIF(SISR!AF$3:AF$80,"="&amp;'verif-jurys'!$C83)-AF37</f>
        <v>0</v>
      </c>
      <c r="AG83" s="4">
        <f>COUNTIF(SLAM!AF$3:AF$80,"="&amp;'verif-jurys'!$C83)-AG37</f>
        <v>0</v>
      </c>
      <c r="AH83" s="4">
        <f>COUNTIF(SISR!AH$3:AH$80,"="&amp;'verif-jurys'!$C83)-AH37</f>
        <v>0</v>
      </c>
      <c r="AI83" s="4">
        <f>COUNTIF(SLAM!AH$3:AH$80,"="&amp;'verif-jurys'!$C83)-AI37</f>
        <v>0</v>
      </c>
      <c r="AJ83" s="4">
        <f>COUNTIF(SISR!AJ$3:AJ$80,"="&amp;'verif-jurys'!$C83)-AJ37</f>
        <v>0</v>
      </c>
      <c r="AK83" s="4">
        <f>COUNTIF(SLAM!AJ$3:AJ$80,"="&amp;'verif-jurys'!$C83)-AK37</f>
        <v>0</v>
      </c>
      <c r="AL83" s="4" t="e">
        <f>COUNTIF(SISR!AL$3:AL$80,"="&amp;'verif-jurys'!$C83)-AL37</f>
        <v>#REF!</v>
      </c>
      <c r="AM83" s="4" t="e">
        <f>COUNTIF(SLAM!AL$3:AL$80,"="&amp;'verif-jurys'!$C83)-AM37</f>
        <v>#REF!</v>
      </c>
      <c r="AN83" s="4" t="e">
        <f>COUNTIF(SISR!AN$3:AN$80,"="&amp;'verif-jurys'!$C83)-AN37</f>
        <v>#REF!</v>
      </c>
      <c r="AO83" s="4" t="e">
        <f>COUNTIF(SLAM!AN$3:AN$80,"="&amp;'verif-jurys'!$C83)-AO37</f>
        <v>#REF!</v>
      </c>
    </row>
    <row r="84" spans="3:41" x14ac:dyDescent="0.25">
      <c r="C84" s="4" t="str">
        <f>'E4-2016'!E37</f>
        <v>HITE</v>
      </c>
      <c r="D84" s="4" t="str">
        <f>'E4-2016'!B37</f>
        <v>HITEMA</v>
      </c>
      <c r="E84" s="4" t="str">
        <f>'E4-2016'!D37</f>
        <v>0922614S</v>
      </c>
      <c r="F84" s="4">
        <f>COUNTIF(SISR!F$3:F$80,"="&amp;'verif-jurys'!$C84)-F38</f>
        <v>0</v>
      </c>
      <c r="G84" s="4">
        <f>COUNTIF(SLAM!F$3:F$80,"="&amp;'verif-jurys'!$C84)-G38</f>
        <v>0</v>
      </c>
      <c r="H84" s="4">
        <f>COUNTIF(SISR!H$3:H$80,"="&amp;'verif-jurys'!$C84)-H38</f>
        <v>0</v>
      </c>
      <c r="I84" s="4">
        <f>COUNTIF(SLAM!H$3:H$80,"="&amp;'verif-jurys'!$C84)-I38</f>
        <v>0</v>
      </c>
      <c r="J84" s="4">
        <f>COUNTIF(SISR!J$3:J$80,"="&amp;'verif-jurys'!$C84)-J38</f>
        <v>0</v>
      </c>
      <c r="K84" s="4">
        <f>COUNTIF(SLAM!J$3:J$80,"="&amp;'verif-jurys'!$C84)-K38</f>
        <v>0</v>
      </c>
      <c r="L84" s="4">
        <f>COUNTIF(SISR!L$3:L$80,"="&amp;'verif-jurys'!$C84)-L38</f>
        <v>0</v>
      </c>
      <c r="M84" s="4">
        <f>COUNTIF(SLAM!L$3:L$80,"="&amp;'verif-jurys'!$C84)-M38</f>
        <v>0</v>
      </c>
      <c r="N84" s="4">
        <f>COUNTIF(SISR!N$3:N$80,"="&amp;'verif-jurys'!$C84)-N38</f>
        <v>0</v>
      </c>
      <c r="O84" s="4">
        <f>COUNTIF(SLAM!N$3:N$80,"="&amp;'verif-jurys'!$C84)-O38</f>
        <v>0</v>
      </c>
      <c r="P84" s="4">
        <f>COUNTIF(SISR!P$3:P$80,"="&amp;'verif-jurys'!$C84)-P38</f>
        <v>0</v>
      </c>
      <c r="Q84" s="4">
        <f>COUNTIF(SLAM!P$3:P$80,"="&amp;'verif-jurys'!$C84)-Q38</f>
        <v>0</v>
      </c>
      <c r="R84" s="4">
        <f>COUNTIF(SISR!R$3:R$80,"="&amp;'verif-jurys'!$C84)-R38</f>
        <v>0</v>
      </c>
      <c r="S84" s="4">
        <f>COUNTIF(SLAM!R$3:R$80,"="&amp;'verif-jurys'!$C84)-S38</f>
        <v>0</v>
      </c>
      <c r="T84" s="4">
        <f>COUNTIF(SISR!T$3:T$80,"="&amp;'verif-jurys'!$C84)-T38</f>
        <v>0</v>
      </c>
      <c r="U84" s="4">
        <f>COUNTIF(SLAM!T$3:T$80,"="&amp;'verif-jurys'!$C84)-U38</f>
        <v>0</v>
      </c>
      <c r="V84" s="4">
        <f>COUNTIF(SISR!V$3:V$80,"="&amp;'verif-jurys'!$C84)-V38</f>
        <v>0</v>
      </c>
      <c r="W84" s="4">
        <f>COUNTIF(SLAM!V$3:V$80,"="&amp;'verif-jurys'!$C84)-W38</f>
        <v>0</v>
      </c>
      <c r="X84" s="4">
        <f>COUNTIF(SISR!X$3:X$80,"="&amp;'verif-jurys'!$C84)-X38</f>
        <v>0</v>
      </c>
      <c r="Y84" s="4">
        <f>COUNTIF(SLAM!X$3:X$80,"="&amp;'verif-jurys'!$C84)-Y38</f>
        <v>0</v>
      </c>
      <c r="Z84" s="4">
        <f>COUNTIF(SISR!Z$3:Z$80,"="&amp;'verif-jurys'!$C84)-Z38</f>
        <v>0</v>
      </c>
      <c r="AA84" s="4">
        <f>COUNTIF(SLAM!Z$3:Z$80,"="&amp;'verif-jurys'!$C84)-AA38</f>
        <v>0</v>
      </c>
      <c r="AB84" s="4">
        <f>COUNTIF(SISR!AB$3:AB$80,"="&amp;'verif-jurys'!$C84)-AB38</f>
        <v>0</v>
      </c>
      <c r="AC84" s="4">
        <f>COUNTIF(SLAM!AB$3:AB$80,"="&amp;'verif-jurys'!$C84)-AC38</f>
        <v>0</v>
      </c>
      <c r="AD84" s="4">
        <f>COUNTIF(SISR!AD$3:AD$80,"="&amp;'verif-jurys'!$C84)-AD38</f>
        <v>0</v>
      </c>
      <c r="AE84" s="4">
        <f>COUNTIF(SLAM!AD$3:AD$80,"="&amp;'verif-jurys'!$C84)-AE38</f>
        <v>0</v>
      </c>
      <c r="AF84" s="4">
        <f>COUNTIF(SISR!AF$3:AF$80,"="&amp;'verif-jurys'!$C84)-AF38</f>
        <v>0</v>
      </c>
      <c r="AG84" s="4">
        <f>COUNTIF(SLAM!AF$3:AF$80,"="&amp;'verif-jurys'!$C84)-AG38</f>
        <v>0</v>
      </c>
      <c r="AH84" s="4">
        <f>COUNTIF(SISR!AH$3:AH$80,"="&amp;'verif-jurys'!$C84)-AH38</f>
        <v>0</v>
      </c>
      <c r="AI84" s="4">
        <f>COUNTIF(SLAM!AH$3:AH$80,"="&amp;'verif-jurys'!$C84)-AI38</f>
        <v>0</v>
      </c>
      <c r="AJ84" s="4">
        <f>COUNTIF(SISR!AJ$3:AJ$80,"="&amp;'verif-jurys'!$C84)-AJ38</f>
        <v>0</v>
      </c>
      <c r="AK84" s="4">
        <f>COUNTIF(SLAM!AJ$3:AJ$80,"="&amp;'verif-jurys'!$C84)-AK38</f>
        <v>0</v>
      </c>
      <c r="AL84" s="4" t="e">
        <f>COUNTIF(SISR!AL$3:AL$80,"="&amp;'verif-jurys'!$C84)-AL38</f>
        <v>#REF!</v>
      </c>
      <c r="AM84" s="4" t="e">
        <f>COUNTIF(SLAM!AL$3:AL$80,"="&amp;'verif-jurys'!$C84)-AM38</f>
        <v>#REF!</v>
      </c>
      <c r="AN84" s="4" t="e">
        <f>COUNTIF(SISR!AN$3:AN$80,"="&amp;'verif-jurys'!$C84)-AN38</f>
        <v>#REF!</v>
      </c>
      <c r="AO84" s="4" t="e">
        <f>COUNTIF(SLAM!AN$3:AN$80,"="&amp;'verif-jurys'!$C84)-AO38</f>
        <v>#REF!</v>
      </c>
    </row>
    <row r="85" spans="3:41" x14ac:dyDescent="0.25">
      <c r="C85" s="4" t="str">
        <f>'E4-2016'!E38</f>
        <v>ESJ</v>
      </c>
      <c r="D85" s="4" t="str">
        <f>'E4-2016'!B38</f>
        <v>Ecole Santé et Juridique</v>
      </c>
      <c r="E85" s="4" t="str">
        <f>'E4-2016'!D38</f>
        <v>0922856E</v>
      </c>
      <c r="F85" s="4">
        <f>COUNTIF(SISR!F$3:F$80,"="&amp;'verif-jurys'!$C85)-F39</f>
        <v>0</v>
      </c>
      <c r="G85" s="4">
        <f>COUNTIF(SLAM!F$3:F$80,"="&amp;'verif-jurys'!$C85)-G39</f>
        <v>0</v>
      </c>
      <c r="H85" s="4">
        <f>COUNTIF(SISR!H$3:H$80,"="&amp;'verif-jurys'!$C85)-H39</f>
        <v>0</v>
      </c>
      <c r="I85" s="4">
        <f>COUNTIF(SLAM!H$3:H$80,"="&amp;'verif-jurys'!$C85)-I39</f>
        <v>0</v>
      </c>
      <c r="J85" s="4">
        <f>COUNTIF(SISR!J$3:J$80,"="&amp;'verif-jurys'!$C85)-J39</f>
        <v>0</v>
      </c>
      <c r="K85" s="4">
        <f>COUNTIF(SLAM!J$3:J$80,"="&amp;'verif-jurys'!$C85)-K39</f>
        <v>0</v>
      </c>
      <c r="L85" s="4">
        <f>COUNTIF(SISR!L$3:L$80,"="&amp;'verif-jurys'!$C85)-L39</f>
        <v>0</v>
      </c>
      <c r="M85" s="4">
        <f>COUNTIF(SLAM!L$3:L$80,"="&amp;'verif-jurys'!$C85)-M39</f>
        <v>0</v>
      </c>
      <c r="N85" s="4">
        <f>COUNTIF(SISR!N$3:N$80,"="&amp;'verif-jurys'!$C85)-N39</f>
        <v>0</v>
      </c>
      <c r="O85" s="4">
        <f>COUNTIF(SLAM!N$3:N$80,"="&amp;'verif-jurys'!$C85)-O39</f>
        <v>0</v>
      </c>
      <c r="P85" s="4">
        <f>COUNTIF(SISR!P$3:P$80,"="&amp;'verif-jurys'!$C85)-P39</f>
        <v>0</v>
      </c>
      <c r="Q85" s="4">
        <f>COUNTIF(SLAM!P$3:P$80,"="&amp;'verif-jurys'!$C85)-Q39</f>
        <v>0</v>
      </c>
      <c r="R85" s="4">
        <f>COUNTIF(SISR!R$3:R$80,"="&amp;'verif-jurys'!$C85)-R39</f>
        <v>0</v>
      </c>
      <c r="S85" s="4">
        <f>COUNTIF(SLAM!R$3:R$80,"="&amp;'verif-jurys'!$C85)-S39</f>
        <v>0</v>
      </c>
      <c r="T85" s="4">
        <f>COUNTIF(SISR!T$3:T$80,"="&amp;'verif-jurys'!$C85)-T39</f>
        <v>0</v>
      </c>
      <c r="U85" s="4">
        <f>COUNTIF(SLAM!T$3:T$80,"="&amp;'verif-jurys'!$C85)-U39</f>
        <v>0</v>
      </c>
      <c r="V85" s="4">
        <f>COUNTIF(SISR!V$3:V$80,"="&amp;'verif-jurys'!$C85)-V39</f>
        <v>0</v>
      </c>
      <c r="W85" s="4">
        <f>COUNTIF(SLAM!V$3:V$80,"="&amp;'verif-jurys'!$C85)-W39</f>
        <v>0</v>
      </c>
      <c r="X85" s="4">
        <f>COUNTIF(SISR!X$3:X$80,"="&amp;'verif-jurys'!$C85)-X39</f>
        <v>0</v>
      </c>
      <c r="Y85" s="4">
        <f>COUNTIF(SLAM!X$3:X$80,"="&amp;'verif-jurys'!$C85)-Y39</f>
        <v>0</v>
      </c>
      <c r="Z85" s="4">
        <f>COUNTIF(SISR!Z$3:Z$80,"="&amp;'verif-jurys'!$C85)-Z39</f>
        <v>0</v>
      </c>
      <c r="AA85" s="4">
        <f>COUNTIF(SLAM!Z$3:Z$80,"="&amp;'verif-jurys'!$C85)-AA39</f>
        <v>0</v>
      </c>
      <c r="AB85" s="4">
        <f>COUNTIF(SISR!AB$3:AB$80,"="&amp;'verif-jurys'!$C85)-AB39</f>
        <v>0</v>
      </c>
      <c r="AC85" s="4">
        <f>COUNTIF(SLAM!AB$3:AB$80,"="&amp;'verif-jurys'!$C85)-AC39</f>
        <v>0</v>
      </c>
      <c r="AD85" s="4">
        <f>COUNTIF(SISR!AD$3:AD$80,"="&amp;'verif-jurys'!$C85)-AD39</f>
        <v>0</v>
      </c>
      <c r="AE85" s="4">
        <f>COUNTIF(SLAM!AD$3:AD$80,"="&amp;'verif-jurys'!$C85)-AE39</f>
        <v>0</v>
      </c>
      <c r="AF85" s="4">
        <f>COUNTIF(SISR!AF$3:AF$80,"="&amp;'verif-jurys'!$C85)-AF39</f>
        <v>0</v>
      </c>
      <c r="AG85" s="4">
        <f>COUNTIF(SLAM!AF$3:AF$80,"="&amp;'verif-jurys'!$C85)-AG39</f>
        <v>0</v>
      </c>
      <c r="AH85" s="4">
        <f>COUNTIF(SISR!AH$3:AH$80,"="&amp;'verif-jurys'!$C85)-AH39</f>
        <v>0</v>
      </c>
      <c r="AI85" s="4">
        <f>COUNTIF(SLAM!AH$3:AH$80,"="&amp;'verif-jurys'!$C85)-AI39</f>
        <v>0</v>
      </c>
      <c r="AJ85" s="4">
        <f>COUNTIF(SISR!AJ$3:AJ$80,"="&amp;'verif-jurys'!$C85)-AJ39</f>
        <v>0</v>
      </c>
      <c r="AK85" s="4">
        <f>COUNTIF(SLAM!AJ$3:AJ$80,"="&amp;'verif-jurys'!$C85)-AK39</f>
        <v>0</v>
      </c>
      <c r="AL85" s="4" t="e">
        <f>COUNTIF(SISR!AL$3:AL$80,"="&amp;'verif-jurys'!$C85)-AL39</f>
        <v>#REF!</v>
      </c>
      <c r="AM85" s="4" t="e">
        <f>COUNTIF(SLAM!AL$3:AL$80,"="&amp;'verif-jurys'!$C85)-AM39</f>
        <v>#REF!</v>
      </c>
      <c r="AN85" s="4" t="e">
        <f>COUNTIF(SISR!AN$3:AN$80,"="&amp;'verif-jurys'!$C85)-AN39</f>
        <v>#REF!</v>
      </c>
      <c r="AO85" s="4" t="e">
        <f>COUNTIF(SLAM!AN$3:AN$80,"="&amp;'verif-jurys'!$C85)-AO39</f>
        <v>#REF!</v>
      </c>
    </row>
    <row r="86" spans="3:41" x14ac:dyDescent="0.25">
      <c r="C86" s="4" t="str">
        <f>'E4-2016'!E39</f>
        <v>IMIP</v>
      </c>
      <c r="D86" s="4" t="str">
        <f>'E4-2016'!B39</f>
        <v>IMIE Paris</v>
      </c>
      <c r="E86" s="4" t="str">
        <f>'E4-2016'!D39</f>
        <v>0922863M</v>
      </c>
      <c r="F86" s="4">
        <f>COUNTIF(SISR!F$3:F$80,"="&amp;'verif-jurys'!$C86)-F40</f>
        <v>0</v>
      </c>
      <c r="G86" s="4">
        <f>COUNTIF(SLAM!F$3:F$80,"="&amp;'verif-jurys'!$C86)-G40</f>
        <v>0</v>
      </c>
      <c r="H86" s="4">
        <f>COUNTIF(SISR!H$3:H$80,"="&amp;'verif-jurys'!$C86)-H40</f>
        <v>0</v>
      </c>
      <c r="I86" s="4">
        <f>COUNTIF(SLAM!H$3:H$80,"="&amp;'verif-jurys'!$C86)-I40</f>
        <v>0</v>
      </c>
      <c r="J86" s="4">
        <f>COUNTIF(SISR!J$3:J$80,"="&amp;'verif-jurys'!$C86)-J40</f>
        <v>0</v>
      </c>
      <c r="K86" s="4">
        <f>COUNTIF(SLAM!J$3:J$80,"="&amp;'verif-jurys'!$C86)-K40</f>
        <v>0</v>
      </c>
      <c r="L86" s="4">
        <f>COUNTIF(SISR!L$3:L$80,"="&amp;'verif-jurys'!$C86)-L40</f>
        <v>0</v>
      </c>
      <c r="M86" s="4">
        <f>COUNTIF(SLAM!L$3:L$80,"="&amp;'verif-jurys'!$C86)-M40</f>
        <v>0</v>
      </c>
      <c r="N86" s="4">
        <f>COUNTIF(SISR!N$3:N$80,"="&amp;'verif-jurys'!$C86)-N40</f>
        <v>0</v>
      </c>
      <c r="O86" s="4">
        <f>COUNTIF(SLAM!N$3:N$80,"="&amp;'verif-jurys'!$C86)-O40</f>
        <v>0</v>
      </c>
      <c r="P86" s="4">
        <f>COUNTIF(SISR!P$3:P$80,"="&amp;'verif-jurys'!$C86)-P40</f>
        <v>0</v>
      </c>
      <c r="Q86" s="4">
        <f>COUNTIF(SLAM!P$3:P$80,"="&amp;'verif-jurys'!$C86)-Q40</f>
        <v>0</v>
      </c>
      <c r="R86" s="4">
        <f>COUNTIF(SISR!R$3:R$80,"="&amp;'verif-jurys'!$C86)-R40</f>
        <v>0</v>
      </c>
      <c r="S86" s="4">
        <f>COUNTIF(SLAM!R$3:R$80,"="&amp;'verif-jurys'!$C86)-S40</f>
        <v>0</v>
      </c>
      <c r="T86" s="4">
        <f>COUNTIF(SISR!T$3:T$80,"="&amp;'verif-jurys'!$C86)-T40</f>
        <v>0</v>
      </c>
      <c r="U86" s="4">
        <f>COUNTIF(SLAM!T$3:T$80,"="&amp;'verif-jurys'!$C86)-U40</f>
        <v>0</v>
      </c>
      <c r="V86" s="4">
        <f>COUNTIF(SISR!V$3:V$80,"="&amp;'verif-jurys'!$C86)-V40</f>
        <v>0</v>
      </c>
      <c r="W86" s="4">
        <f>COUNTIF(SLAM!V$3:V$80,"="&amp;'verif-jurys'!$C86)-W40</f>
        <v>0</v>
      </c>
      <c r="X86" s="4">
        <f>COUNTIF(SISR!X$3:X$80,"="&amp;'verif-jurys'!$C86)-X40</f>
        <v>0</v>
      </c>
      <c r="Y86" s="4">
        <f>COUNTIF(SLAM!X$3:X$80,"="&amp;'verif-jurys'!$C86)-Y40</f>
        <v>0</v>
      </c>
      <c r="Z86" s="4">
        <f>COUNTIF(SISR!Z$3:Z$80,"="&amp;'verif-jurys'!$C86)-Z40</f>
        <v>0</v>
      </c>
      <c r="AA86" s="4">
        <f>COUNTIF(SLAM!Z$3:Z$80,"="&amp;'verif-jurys'!$C86)-AA40</f>
        <v>0</v>
      </c>
      <c r="AB86" s="4">
        <f>COUNTIF(SISR!AB$3:AB$80,"="&amp;'verif-jurys'!$C86)-AB40</f>
        <v>0</v>
      </c>
      <c r="AC86" s="4">
        <f>COUNTIF(SLAM!AB$3:AB$80,"="&amp;'verif-jurys'!$C86)-AC40</f>
        <v>0</v>
      </c>
      <c r="AD86" s="4">
        <f>COUNTIF(SISR!AD$3:AD$80,"="&amp;'verif-jurys'!$C86)-AD40</f>
        <v>0</v>
      </c>
      <c r="AE86" s="4">
        <f>COUNTIF(SLAM!AD$3:AD$80,"="&amp;'verif-jurys'!$C86)-AE40</f>
        <v>0</v>
      </c>
      <c r="AF86" s="4">
        <f>COUNTIF(SISR!AF$3:AF$80,"="&amp;'verif-jurys'!$C86)-AF40</f>
        <v>0</v>
      </c>
      <c r="AG86" s="4">
        <f>COUNTIF(SLAM!AF$3:AF$80,"="&amp;'verif-jurys'!$C86)-AG40</f>
        <v>0</v>
      </c>
      <c r="AH86" s="4">
        <f>COUNTIF(SISR!AH$3:AH$80,"="&amp;'verif-jurys'!$C86)-AH40</f>
        <v>0</v>
      </c>
      <c r="AI86" s="4">
        <f>COUNTIF(SLAM!AH$3:AH$80,"="&amp;'verif-jurys'!$C86)-AI40</f>
        <v>0</v>
      </c>
      <c r="AJ86" s="4">
        <f>COUNTIF(SISR!AJ$3:AJ$80,"="&amp;'verif-jurys'!$C86)-AJ40</f>
        <v>0</v>
      </c>
      <c r="AK86" s="4">
        <f>COUNTIF(SLAM!AJ$3:AJ$80,"="&amp;'verif-jurys'!$C86)-AK40</f>
        <v>0</v>
      </c>
      <c r="AL86" s="4" t="e">
        <f>COUNTIF(SISR!AL$3:AL$80,"="&amp;'verif-jurys'!$C86)-AL40</f>
        <v>#REF!</v>
      </c>
      <c r="AM86" s="4" t="e">
        <f>COUNTIF(SLAM!AL$3:AL$80,"="&amp;'verif-jurys'!$C86)-AM40</f>
        <v>#REF!</v>
      </c>
      <c r="AN86" s="4" t="e">
        <f>COUNTIF(SISR!AN$3:AN$80,"="&amp;'verif-jurys'!$C86)-AN40</f>
        <v>#REF!</v>
      </c>
      <c r="AO86" s="4" t="e">
        <f>COUNTIF(SLAM!AN$3:AN$80,"="&amp;'verif-jurys'!$C86)-AO40</f>
        <v>#REF!</v>
      </c>
    </row>
    <row r="87" spans="3:41" x14ac:dyDescent="0.25">
      <c r="C87" s="4" t="str">
        <f>'E4-2016'!E40</f>
        <v>ELYC</v>
      </c>
      <c r="D87" s="4" t="str">
        <f>'E4-2016'!B40</f>
        <v>Elyon Company</v>
      </c>
      <c r="E87" s="4" t="str">
        <f>'E4-2016'!D40</f>
        <v>0922873Y</v>
      </c>
      <c r="F87" s="4">
        <f>COUNTIF(SISR!F$3:F$80,"="&amp;'verif-jurys'!$C87)-F41</f>
        <v>0</v>
      </c>
      <c r="G87" s="4">
        <f>COUNTIF(SLAM!F$3:F$80,"="&amp;'verif-jurys'!$C87)-G41</f>
        <v>0</v>
      </c>
      <c r="H87" s="4">
        <f>COUNTIF(SISR!H$3:H$80,"="&amp;'verif-jurys'!$C87)-H41</f>
        <v>0</v>
      </c>
      <c r="I87" s="4">
        <f>COUNTIF(SLAM!H$3:H$80,"="&amp;'verif-jurys'!$C87)-I41</f>
        <v>0</v>
      </c>
      <c r="J87" s="4">
        <f>COUNTIF(SISR!J$3:J$80,"="&amp;'verif-jurys'!$C87)-J41</f>
        <v>0</v>
      </c>
      <c r="K87" s="4">
        <f>COUNTIF(SLAM!J$3:J$80,"="&amp;'verif-jurys'!$C87)-K41</f>
        <v>0</v>
      </c>
      <c r="L87" s="4">
        <f>COUNTIF(SISR!L$3:L$80,"="&amp;'verif-jurys'!$C87)-L41</f>
        <v>0</v>
      </c>
      <c r="M87" s="4">
        <f>COUNTIF(SLAM!L$3:L$80,"="&amp;'verif-jurys'!$C87)-M41</f>
        <v>0</v>
      </c>
      <c r="N87" s="4">
        <f>COUNTIF(SISR!N$3:N$80,"="&amp;'verif-jurys'!$C87)-N41</f>
        <v>0</v>
      </c>
      <c r="O87" s="4">
        <f>COUNTIF(SLAM!N$3:N$80,"="&amp;'verif-jurys'!$C87)-O41</f>
        <v>0</v>
      </c>
      <c r="P87" s="4">
        <f>COUNTIF(SISR!P$3:P$80,"="&amp;'verif-jurys'!$C87)-P41</f>
        <v>0</v>
      </c>
      <c r="Q87" s="4">
        <f>COUNTIF(SLAM!P$3:P$80,"="&amp;'verif-jurys'!$C87)-Q41</f>
        <v>0</v>
      </c>
      <c r="R87" s="4">
        <f>COUNTIF(SISR!R$3:R$80,"="&amp;'verif-jurys'!$C87)-R41</f>
        <v>0</v>
      </c>
      <c r="S87" s="4">
        <f>COUNTIF(SLAM!R$3:R$80,"="&amp;'verif-jurys'!$C87)-S41</f>
        <v>0</v>
      </c>
      <c r="T87" s="4">
        <f>COUNTIF(SISR!T$3:T$80,"="&amp;'verif-jurys'!$C87)-T41</f>
        <v>0</v>
      </c>
      <c r="U87" s="4">
        <f>COUNTIF(SLAM!T$3:T$80,"="&amp;'verif-jurys'!$C87)-U41</f>
        <v>0</v>
      </c>
      <c r="V87" s="4">
        <f>COUNTIF(SISR!V$3:V$80,"="&amp;'verif-jurys'!$C87)-V41</f>
        <v>0</v>
      </c>
      <c r="W87" s="4">
        <f>COUNTIF(SLAM!V$3:V$80,"="&amp;'verif-jurys'!$C87)-W41</f>
        <v>0</v>
      </c>
      <c r="X87" s="4">
        <f>COUNTIF(SISR!X$3:X$80,"="&amp;'verif-jurys'!$C87)-X41</f>
        <v>0</v>
      </c>
      <c r="Y87" s="4">
        <f>COUNTIF(SLAM!X$3:X$80,"="&amp;'verif-jurys'!$C87)-Y41</f>
        <v>0</v>
      </c>
      <c r="Z87" s="4">
        <f>COUNTIF(SISR!Z$3:Z$80,"="&amp;'verif-jurys'!$C87)-Z41</f>
        <v>0</v>
      </c>
      <c r="AA87" s="4">
        <f>COUNTIF(SLAM!Z$3:Z$80,"="&amp;'verif-jurys'!$C87)-AA41</f>
        <v>0</v>
      </c>
      <c r="AB87" s="4">
        <f>COUNTIF(SISR!AB$3:AB$80,"="&amp;'verif-jurys'!$C87)-AB41</f>
        <v>0</v>
      </c>
      <c r="AC87" s="4">
        <f>COUNTIF(SLAM!AB$3:AB$80,"="&amp;'verif-jurys'!$C87)-AC41</f>
        <v>0</v>
      </c>
      <c r="AD87" s="4">
        <f>COUNTIF(SISR!AD$3:AD$80,"="&amp;'verif-jurys'!$C87)-AD41</f>
        <v>0</v>
      </c>
      <c r="AE87" s="4">
        <f>COUNTIF(SLAM!AD$3:AD$80,"="&amp;'verif-jurys'!$C87)-AE41</f>
        <v>0</v>
      </c>
      <c r="AF87" s="4">
        <f>COUNTIF(SISR!AF$3:AF$80,"="&amp;'verif-jurys'!$C87)-AF41</f>
        <v>0</v>
      </c>
      <c r="AG87" s="4">
        <f>COUNTIF(SLAM!AF$3:AF$80,"="&amp;'verif-jurys'!$C87)-AG41</f>
        <v>0</v>
      </c>
      <c r="AH87" s="4">
        <f>COUNTIF(SISR!AH$3:AH$80,"="&amp;'verif-jurys'!$C87)-AH41</f>
        <v>0</v>
      </c>
      <c r="AI87" s="4">
        <f>COUNTIF(SLAM!AH$3:AH$80,"="&amp;'verif-jurys'!$C87)-AI41</f>
        <v>0</v>
      </c>
      <c r="AJ87" s="4">
        <f>COUNTIF(SISR!AJ$3:AJ$80,"="&amp;'verif-jurys'!$C87)-AJ41</f>
        <v>0</v>
      </c>
      <c r="AK87" s="4">
        <f>COUNTIF(SLAM!AJ$3:AJ$80,"="&amp;'verif-jurys'!$C87)-AK41</f>
        <v>0</v>
      </c>
      <c r="AL87" s="4" t="e">
        <f>COUNTIF(SISR!AL$3:AL$80,"="&amp;'verif-jurys'!$C87)-AL41</f>
        <v>#REF!</v>
      </c>
      <c r="AM87" s="4" t="e">
        <f>COUNTIF(SLAM!AL$3:AL$80,"="&amp;'verif-jurys'!$C87)-AM41</f>
        <v>#REF!</v>
      </c>
      <c r="AN87" s="4" t="e">
        <f>COUNTIF(SISR!AN$3:AN$80,"="&amp;'verif-jurys'!$C87)-AN41</f>
        <v>#REF!</v>
      </c>
      <c r="AO87" s="4" t="e">
        <f>COUNTIF(SLAM!AN$3:AN$80,"="&amp;'verif-jurys'!$C87)-AO41</f>
        <v>#REF!</v>
      </c>
    </row>
    <row r="88" spans="3:41" x14ac:dyDescent="0.25">
      <c r="C88" s="4" t="str">
        <f>'E4-2016'!E41</f>
        <v>AFF</v>
      </c>
      <c r="D88" s="4" t="str">
        <f>'E4-2016'!B41</f>
        <v>CFA AFORP FORMATION</v>
      </c>
      <c r="E88" s="4" t="str">
        <f>'E4-2016'!D41</f>
        <v>0932760V</v>
      </c>
      <c r="F88" s="4">
        <f>COUNTIF(SISR!F$3:F$80,"="&amp;'verif-jurys'!$C88)-F42</f>
        <v>0</v>
      </c>
      <c r="G88" s="4">
        <f>COUNTIF(SLAM!F$3:F$80,"="&amp;'verif-jurys'!$C88)-G42</f>
        <v>0</v>
      </c>
      <c r="H88" s="4">
        <f>COUNTIF(SISR!H$3:H$80,"="&amp;'verif-jurys'!$C88)-H42</f>
        <v>-1</v>
      </c>
      <c r="I88" s="4">
        <f>COUNTIF(SLAM!H$3:H$80,"="&amp;'verif-jurys'!$C88)-I42</f>
        <v>-1</v>
      </c>
      <c r="J88" s="4">
        <f>COUNTIF(SISR!J$3:J$80,"="&amp;'verif-jurys'!$C88)-J42</f>
        <v>0</v>
      </c>
      <c r="K88" s="4">
        <f>COUNTIF(SLAM!J$3:J$80,"="&amp;'verif-jurys'!$C88)-K42</f>
        <v>0</v>
      </c>
      <c r="L88" s="4">
        <f>COUNTIF(SISR!L$3:L$80,"="&amp;'verif-jurys'!$C88)-L42</f>
        <v>0</v>
      </c>
      <c r="M88" s="4">
        <f>COUNTIF(SLAM!L$3:L$80,"="&amp;'verif-jurys'!$C88)-M42</f>
        <v>0</v>
      </c>
      <c r="N88" s="4">
        <f>COUNTIF(SISR!N$3:N$80,"="&amp;'verif-jurys'!$C88)-N42</f>
        <v>0</v>
      </c>
      <c r="O88" s="4">
        <f>COUNTIF(SLAM!N$3:N$80,"="&amp;'verif-jurys'!$C88)-O42</f>
        <v>0</v>
      </c>
      <c r="P88" s="4">
        <f>COUNTIF(SISR!P$3:P$80,"="&amp;'verif-jurys'!$C88)-P42</f>
        <v>0</v>
      </c>
      <c r="Q88" s="4">
        <f>COUNTIF(SLAM!P$3:P$80,"="&amp;'verif-jurys'!$C88)-Q42</f>
        <v>0</v>
      </c>
      <c r="R88" s="4">
        <f>COUNTIF(SISR!R$3:R$80,"="&amp;'verif-jurys'!$C88)-R42</f>
        <v>0</v>
      </c>
      <c r="S88" s="4">
        <f>COUNTIF(SLAM!R$3:R$80,"="&amp;'verif-jurys'!$C88)-S42</f>
        <v>0</v>
      </c>
      <c r="T88" s="4">
        <f>COUNTIF(SISR!T$3:T$80,"="&amp;'verif-jurys'!$C88)-T42</f>
        <v>0</v>
      </c>
      <c r="U88" s="4">
        <f>COUNTIF(SLAM!T$3:T$80,"="&amp;'verif-jurys'!$C88)-U42</f>
        <v>0</v>
      </c>
      <c r="V88" s="4">
        <f>COUNTIF(SISR!V$3:V$80,"="&amp;'verif-jurys'!$C88)-V42</f>
        <v>0</v>
      </c>
      <c r="W88" s="4">
        <f>COUNTIF(SLAM!V$3:V$80,"="&amp;'verif-jurys'!$C88)-W42</f>
        <v>0</v>
      </c>
      <c r="X88" s="4">
        <f>COUNTIF(SISR!X$3:X$80,"="&amp;'verif-jurys'!$C88)-X42</f>
        <v>0</v>
      </c>
      <c r="Y88" s="4">
        <f>COUNTIF(SLAM!X$3:X$80,"="&amp;'verif-jurys'!$C88)-Y42</f>
        <v>0</v>
      </c>
      <c r="Z88" s="4">
        <f>COUNTIF(SISR!Z$3:Z$80,"="&amp;'verif-jurys'!$C88)-Z42</f>
        <v>0</v>
      </c>
      <c r="AA88" s="4">
        <f>COUNTIF(SLAM!Z$3:Z$80,"="&amp;'verif-jurys'!$C88)-AA42</f>
        <v>0</v>
      </c>
      <c r="AB88" s="4">
        <f>COUNTIF(SISR!AB$3:AB$80,"="&amp;'verif-jurys'!$C88)-AB42</f>
        <v>0</v>
      </c>
      <c r="AC88" s="4">
        <f>COUNTIF(SLAM!AB$3:AB$80,"="&amp;'verif-jurys'!$C88)-AC42</f>
        <v>0</v>
      </c>
      <c r="AD88" s="4">
        <f>COUNTIF(SISR!AD$3:AD$80,"="&amp;'verif-jurys'!$C88)-AD42</f>
        <v>0</v>
      </c>
      <c r="AE88" s="4">
        <f>COUNTIF(SLAM!AD$3:AD$80,"="&amp;'verif-jurys'!$C88)-AE42</f>
        <v>0</v>
      </c>
      <c r="AF88" s="4">
        <f>COUNTIF(SISR!AF$3:AF$80,"="&amp;'verif-jurys'!$C88)-AF42</f>
        <v>0</v>
      </c>
      <c r="AG88" s="4">
        <f>COUNTIF(SLAM!AF$3:AF$80,"="&amp;'verif-jurys'!$C88)-AG42</f>
        <v>0</v>
      </c>
      <c r="AH88" s="4">
        <f>COUNTIF(SISR!AH$3:AH$80,"="&amp;'verif-jurys'!$C88)-AH42</f>
        <v>0</v>
      </c>
      <c r="AI88" s="4">
        <f>COUNTIF(SLAM!AH$3:AH$80,"="&amp;'verif-jurys'!$C88)-AI42</f>
        <v>0</v>
      </c>
      <c r="AJ88" s="4">
        <f>COUNTIF(SISR!AJ$3:AJ$80,"="&amp;'verif-jurys'!$C88)-AJ42</f>
        <v>0</v>
      </c>
      <c r="AK88" s="4">
        <f>COUNTIF(SLAM!AJ$3:AJ$80,"="&amp;'verif-jurys'!$C88)-AK42</f>
        <v>0</v>
      </c>
      <c r="AL88" s="4" t="e">
        <f>COUNTIF(SISR!AL$3:AL$80,"="&amp;'verif-jurys'!$C88)-AL42</f>
        <v>#REF!</v>
      </c>
      <c r="AM88" s="4" t="e">
        <f>COUNTIF(SLAM!AL$3:AL$80,"="&amp;'verif-jurys'!$C88)-AM42</f>
        <v>#REF!</v>
      </c>
      <c r="AN88" s="4" t="e">
        <f>COUNTIF(SISR!AN$3:AN$80,"="&amp;'verif-jurys'!$C88)-AN42</f>
        <v>#REF!</v>
      </c>
      <c r="AO88" s="4" t="e">
        <f>COUNTIF(SLAM!AN$3:AN$80,"="&amp;'verif-jurys'!$C88)-AO42</f>
        <v>#REF!</v>
      </c>
    </row>
    <row r="89" spans="3:41" x14ac:dyDescent="0.25">
      <c r="C89" s="4" t="str">
        <f>'E4-2016'!E42</f>
        <v>LPB</v>
      </c>
      <c r="D89" s="4" t="str">
        <f>'E4-2016'!B42</f>
        <v>Lycée Paul Bert</v>
      </c>
      <c r="E89" s="4" t="str">
        <f>'E4-2016'!D42</f>
        <v>0941355M</v>
      </c>
      <c r="F89" s="4">
        <f>COUNTIF(SISR!F$3:F$80,"="&amp;'verif-jurys'!$C89)-F43</f>
        <v>0</v>
      </c>
      <c r="G89" s="4">
        <f>COUNTIF(SLAM!F$3:F$80,"="&amp;'verif-jurys'!$C89)-G43</f>
        <v>0</v>
      </c>
      <c r="H89" s="4">
        <f>COUNTIF(SISR!H$3:H$80,"="&amp;'verif-jurys'!$C89)-H43</f>
        <v>0</v>
      </c>
      <c r="I89" s="4">
        <f>COUNTIF(SLAM!H$3:H$80,"="&amp;'verif-jurys'!$C89)-I43</f>
        <v>0</v>
      </c>
      <c r="J89" s="4">
        <f>COUNTIF(SISR!J$3:J$80,"="&amp;'verif-jurys'!$C89)-J43</f>
        <v>0</v>
      </c>
      <c r="K89" s="4">
        <f>COUNTIF(SLAM!J$3:J$80,"="&amp;'verif-jurys'!$C89)-K43</f>
        <v>0</v>
      </c>
      <c r="L89" s="4">
        <f>COUNTIF(SISR!L$3:L$80,"="&amp;'verif-jurys'!$C89)-L43</f>
        <v>0</v>
      </c>
      <c r="M89" s="4">
        <f>COUNTIF(SLAM!L$3:L$80,"="&amp;'verif-jurys'!$C89)-M43</f>
        <v>0</v>
      </c>
      <c r="N89" s="4">
        <f>COUNTIF(SISR!N$3:N$80,"="&amp;'verif-jurys'!$C89)-N43</f>
        <v>0</v>
      </c>
      <c r="O89" s="4">
        <f>COUNTIF(SLAM!N$3:N$80,"="&amp;'verif-jurys'!$C89)-O43</f>
        <v>0</v>
      </c>
      <c r="P89" s="4">
        <f>COUNTIF(SISR!P$3:P$80,"="&amp;'verif-jurys'!$C89)-P43</f>
        <v>0</v>
      </c>
      <c r="Q89" s="4">
        <f>COUNTIF(SLAM!P$3:P$80,"="&amp;'verif-jurys'!$C89)-Q43</f>
        <v>0</v>
      </c>
      <c r="R89" s="4">
        <f>COUNTIF(SISR!R$3:R$80,"="&amp;'verif-jurys'!$C89)-R43</f>
        <v>0</v>
      </c>
      <c r="S89" s="4">
        <f>COUNTIF(SLAM!R$3:R$80,"="&amp;'verif-jurys'!$C89)-S43</f>
        <v>0</v>
      </c>
      <c r="T89" s="4">
        <f>COUNTIF(SISR!T$3:T$80,"="&amp;'verif-jurys'!$C89)-T43</f>
        <v>0</v>
      </c>
      <c r="U89" s="4">
        <f>COUNTIF(SLAM!T$3:T$80,"="&amp;'verif-jurys'!$C89)-U43</f>
        <v>0</v>
      </c>
      <c r="V89" s="4">
        <f>COUNTIF(SISR!V$3:V$80,"="&amp;'verif-jurys'!$C89)-V43</f>
        <v>0</v>
      </c>
      <c r="W89" s="4">
        <f>COUNTIF(SLAM!V$3:V$80,"="&amp;'verif-jurys'!$C89)-W43</f>
        <v>0</v>
      </c>
      <c r="X89" s="4">
        <f>COUNTIF(SISR!X$3:X$80,"="&amp;'verif-jurys'!$C89)-X43</f>
        <v>0</v>
      </c>
      <c r="Y89" s="4">
        <f>COUNTIF(SLAM!X$3:X$80,"="&amp;'verif-jurys'!$C89)-Y43</f>
        <v>0</v>
      </c>
      <c r="Z89" s="4">
        <f>COUNTIF(SISR!Z$3:Z$80,"="&amp;'verif-jurys'!$C89)-Z43</f>
        <v>0</v>
      </c>
      <c r="AA89" s="4">
        <f>COUNTIF(SLAM!Z$3:Z$80,"="&amp;'verif-jurys'!$C89)-AA43</f>
        <v>0</v>
      </c>
      <c r="AB89" s="4">
        <f>COUNTIF(SISR!AB$3:AB$80,"="&amp;'verif-jurys'!$C89)-AB43</f>
        <v>0</v>
      </c>
      <c r="AC89" s="4">
        <f>COUNTIF(SLAM!AB$3:AB$80,"="&amp;'verif-jurys'!$C89)-AC43</f>
        <v>0</v>
      </c>
      <c r="AD89" s="4">
        <f>COUNTIF(SISR!AD$3:AD$80,"="&amp;'verif-jurys'!$C89)-AD43</f>
        <v>0</v>
      </c>
      <c r="AE89" s="4">
        <f>COUNTIF(SLAM!AD$3:AD$80,"="&amp;'verif-jurys'!$C89)-AE43</f>
        <v>0</v>
      </c>
      <c r="AF89" s="4">
        <f>COUNTIF(SISR!AF$3:AF$80,"="&amp;'verif-jurys'!$C89)-AF43</f>
        <v>0</v>
      </c>
      <c r="AG89" s="4">
        <f>COUNTIF(SLAM!AF$3:AF$80,"="&amp;'verif-jurys'!$C89)-AG43</f>
        <v>0</v>
      </c>
      <c r="AH89" s="4">
        <f>COUNTIF(SISR!AH$3:AH$80,"="&amp;'verif-jurys'!$C89)-AH43</f>
        <v>0</v>
      </c>
      <c r="AI89" s="4">
        <f>COUNTIF(SLAM!AH$3:AH$80,"="&amp;'verif-jurys'!$C89)-AI43</f>
        <v>0</v>
      </c>
      <c r="AJ89" s="4">
        <f>COUNTIF(SISR!AJ$3:AJ$80,"="&amp;'verif-jurys'!$C89)-AJ43</f>
        <v>0</v>
      </c>
      <c r="AK89" s="4">
        <f>COUNTIF(SLAM!AJ$3:AJ$80,"="&amp;'verif-jurys'!$C89)-AK43</f>
        <v>0</v>
      </c>
      <c r="AL89" s="4" t="e">
        <f>COUNTIF(SISR!AL$3:AL$80,"="&amp;'verif-jurys'!$C89)-AL43</f>
        <v>#REF!</v>
      </c>
      <c r="AM89" s="4" t="e">
        <f>COUNTIF(SLAM!AL$3:AL$80,"="&amp;'verif-jurys'!$C89)-AM43</f>
        <v>#REF!</v>
      </c>
      <c r="AN89" s="4" t="e">
        <f>COUNTIF(SISR!AN$3:AN$80,"="&amp;'verif-jurys'!$C89)-AN43</f>
        <v>#REF!</v>
      </c>
      <c r="AO89" s="4" t="e">
        <f>COUNTIF(SLAM!AN$3:AN$80,"="&amp;'verif-jurys'!$C89)-AO43</f>
        <v>#REF!</v>
      </c>
    </row>
    <row r="90" spans="3:41" x14ac:dyDescent="0.25">
      <c r="C90" s="4" t="str">
        <f>'E4-2016'!E43</f>
        <v>EFRE</v>
      </c>
      <c r="D90" s="4" t="str">
        <f>'E4-2016'!B43</f>
        <v>EFREI</v>
      </c>
      <c r="E90" s="4" t="str">
        <f>'E4-2016'!D43</f>
        <v>0941934S</v>
      </c>
      <c r="F90" s="4">
        <f>COUNTIF(SISR!F$3:F$80,"="&amp;'verif-jurys'!$C90)-F44</f>
        <v>0</v>
      </c>
      <c r="G90" s="4">
        <f>COUNTIF(SLAM!F$3:F$80,"="&amp;'verif-jurys'!$C90)-G44</f>
        <v>0</v>
      </c>
      <c r="H90" s="4">
        <f>COUNTIF(SISR!H$3:H$80,"="&amp;'verif-jurys'!$C90)-H44</f>
        <v>0</v>
      </c>
      <c r="I90" s="4">
        <f>COUNTIF(SLAM!H$3:H$80,"="&amp;'verif-jurys'!$C90)-I44</f>
        <v>0</v>
      </c>
      <c r="J90" s="4">
        <f>COUNTIF(SISR!J$3:J$80,"="&amp;'verif-jurys'!$C90)-J44</f>
        <v>0</v>
      </c>
      <c r="K90" s="4">
        <f>COUNTIF(SLAM!J$3:J$80,"="&amp;'verif-jurys'!$C90)-K44</f>
        <v>0</v>
      </c>
      <c r="L90" s="4">
        <f>COUNTIF(SISR!L$3:L$80,"="&amp;'verif-jurys'!$C90)-L44</f>
        <v>0</v>
      </c>
      <c r="M90" s="4">
        <f>COUNTIF(SLAM!L$3:L$80,"="&amp;'verif-jurys'!$C90)-M44</f>
        <v>0</v>
      </c>
      <c r="N90" s="4">
        <f>COUNTIF(SISR!N$3:N$80,"="&amp;'verif-jurys'!$C90)-N44</f>
        <v>0</v>
      </c>
      <c r="O90" s="4">
        <f>COUNTIF(SLAM!N$3:N$80,"="&amp;'verif-jurys'!$C90)-O44</f>
        <v>0</v>
      </c>
      <c r="P90" s="4">
        <f>COUNTIF(SISR!P$3:P$80,"="&amp;'verif-jurys'!$C90)-P44</f>
        <v>0</v>
      </c>
      <c r="Q90" s="4">
        <f>COUNTIF(SLAM!P$3:P$80,"="&amp;'verif-jurys'!$C90)-Q44</f>
        <v>0</v>
      </c>
      <c r="R90" s="4">
        <f>COUNTIF(SISR!R$3:R$80,"="&amp;'verif-jurys'!$C90)-R44</f>
        <v>0</v>
      </c>
      <c r="S90" s="4">
        <f>COUNTIF(SLAM!R$3:R$80,"="&amp;'verif-jurys'!$C90)-S44</f>
        <v>0</v>
      </c>
      <c r="T90" s="4">
        <f>COUNTIF(SISR!T$3:T$80,"="&amp;'verif-jurys'!$C90)-T44</f>
        <v>0</v>
      </c>
      <c r="U90" s="4">
        <f>COUNTIF(SLAM!T$3:T$80,"="&amp;'verif-jurys'!$C90)-U44</f>
        <v>0</v>
      </c>
      <c r="V90" s="4">
        <f>COUNTIF(SISR!V$3:V$80,"="&amp;'verif-jurys'!$C90)-V44</f>
        <v>0</v>
      </c>
      <c r="W90" s="4">
        <f>COUNTIF(SLAM!V$3:V$80,"="&amp;'verif-jurys'!$C90)-W44</f>
        <v>0</v>
      </c>
      <c r="X90" s="4">
        <f>COUNTIF(SISR!X$3:X$80,"="&amp;'verif-jurys'!$C90)-X44</f>
        <v>0</v>
      </c>
      <c r="Y90" s="4">
        <f>COUNTIF(SLAM!X$3:X$80,"="&amp;'verif-jurys'!$C90)-Y44</f>
        <v>0</v>
      </c>
      <c r="Z90" s="4">
        <f>COUNTIF(SISR!Z$3:Z$80,"="&amp;'verif-jurys'!$C90)-Z44</f>
        <v>0</v>
      </c>
      <c r="AA90" s="4">
        <f>COUNTIF(SLAM!Z$3:Z$80,"="&amp;'verif-jurys'!$C90)-AA44</f>
        <v>0</v>
      </c>
      <c r="AB90" s="4">
        <f>COUNTIF(SISR!AB$3:AB$80,"="&amp;'verif-jurys'!$C90)-AB44</f>
        <v>0</v>
      </c>
      <c r="AC90" s="4">
        <f>COUNTIF(SLAM!AB$3:AB$80,"="&amp;'verif-jurys'!$C90)-AC44</f>
        <v>0</v>
      </c>
      <c r="AD90" s="4">
        <f>COUNTIF(SISR!AD$3:AD$80,"="&amp;'verif-jurys'!$C90)-AD44</f>
        <v>0</v>
      </c>
      <c r="AE90" s="4">
        <f>COUNTIF(SLAM!AD$3:AD$80,"="&amp;'verif-jurys'!$C90)-AE44</f>
        <v>0</v>
      </c>
      <c r="AF90" s="4">
        <f>COUNTIF(SISR!AF$3:AF$80,"="&amp;'verif-jurys'!$C90)-AF44</f>
        <v>0</v>
      </c>
      <c r="AG90" s="4">
        <f>COUNTIF(SLAM!AF$3:AF$80,"="&amp;'verif-jurys'!$C90)-AG44</f>
        <v>0</v>
      </c>
      <c r="AH90" s="4">
        <f>COUNTIF(SISR!AH$3:AH$80,"="&amp;'verif-jurys'!$C90)-AH44</f>
        <v>0</v>
      </c>
      <c r="AI90" s="4">
        <f>COUNTIF(SLAM!AH$3:AH$80,"="&amp;'verif-jurys'!$C90)-AI44</f>
        <v>0</v>
      </c>
      <c r="AJ90" s="4">
        <f>COUNTIF(SISR!AJ$3:AJ$80,"="&amp;'verif-jurys'!$C90)-AJ44</f>
        <v>0</v>
      </c>
      <c r="AK90" s="4">
        <f>COUNTIF(SLAM!AJ$3:AJ$80,"="&amp;'verif-jurys'!$C90)-AK44</f>
        <v>0</v>
      </c>
      <c r="AL90" s="4" t="e">
        <f>COUNTIF(SISR!AL$3:AL$80,"="&amp;'verif-jurys'!$C90)-AL44</f>
        <v>#REF!</v>
      </c>
      <c r="AM90" s="4" t="e">
        <f>COUNTIF(SLAM!AL$3:AL$80,"="&amp;'verif-jurys'!$C90)-AM44</f>
        <v>#REF!</v>
      </c>
      <c r="AN90" s="4" t="e">
        <f>COUNTIF(SISR!AN$3:AN$80,"="&amp;'verif-jurys'!$C90)-AN44</f>
        <v>#REF!</v>
      </c>
      <c r="AO90" s="4" t="e">
        <f>COUNTIF(SLAM!AN$3:AN$80,"="&amp;'verif-jurys'!$C90)-AO44</f>
        <v>#REF!</v>
      </c>
    </row>
    <row r="91" spans="3:41" x14ac:dyDescent="0.25">
      <c r="C91" s="4" t="str">
        <f>'E4-2016'!E44</f>
        <v>IEFII</v>
      </c>
      <c r="D91" s="4" t="str">
        <f>'E4-2016'!B44</f>
        <v>IEFII</v>
      </c>
      <c r="E91" s="4" t="str">
        <f>'E4-2016'!D44</f>
        <v>0942169X</v>
      </c>
      <c r="F91" s="4">
        <f>COUNTIF(SISR!F$3:F$80,"="&amp;'verif-jurys'!$C91)-F45</f>
        <v>0</v>
      </c>
      <c r="G91" s="4">
        <f>COUNTIF(SLAM!F$3:F$80,"="&amp;'verif-jurys'!$C91)-G45</f>
        <v>0</v>
      </c>
      <c r="H91" s="4">
        <f>COUNTIF(SISR!H$3:H$80,"="&amp;'verif-jurys'!$C91)-H45</f>
        <v>0</v>
      </c>
      <c r="I91" s="4">
        <f>COUNTIF(SLAM!H$3:H$80,"="&amp;'verif-jurys'!$C91)-I45</f>
        <v>0</v>
      </c>
      <c r="J91" s="4">
        <f>COUNTIF(SISR!J$3:J$80,"="&amp;'verif-jurys'!$C91)-J45</f>
        <v>0</v>
      </c>
      <c r="K91" s="4">
        <f>COUNTIF(SLAM!J$3:J$80,"="&amp;'verif-jurys'!$C91)-K45</f>
        <v>0</v>
      </c>
      <c r="L91" s="4">
        <f>COUNTIF(SISR!L$3:L$80,"="&amp;'verif-jurys'!$C91)-L45</f>
        <v>0</v>
      </c>
      <c r="M91" s="4">
        <f>COUNTIF(SLAM!L$3:L$80,"="&amp;'verif-jurys'!$C91)-M45</f>
        <v>0</v>
      </c>
      <c r="N91" s="4">
        <f>COUNTIF(SISR!N$3:N$80,"="&amp;'verif-jurys'!$C91)-N45</f>
        <v>0</v>
      </c>
      <c r="O91" s="4">
        <f>COUNTIF(SLAM!N$3:N$80,"="&amp;'verif-jurys'!$C91)-O45</f>
        <v>0</v>
      </c>
      <c r="P91" s="4">
        <f>COUNTIF(SISR!P$3:P$80,"="&amp;'verif-jurys'!$C91)-P45</f>
        <v>0</v>
      </c>
      <c r="Q91" s="4">
        <f>COUNTIF(SLAM!P$3:P$80,"="&amp;'verif-jurys'!$C91)-Q45</f>
        <v>0</v>
      </c>
      <c r="R91" s="4">
        <f>COUNTIF(SISR!R$3:R$80,"="&amp;'verif-jurys'!$C91)-R45</f>
        <v>0</v>
      </c>
      <c r="S91" s="4">
        <f>COUNTIF(SLAM!R$3:R$80,"="&amp;'verif-jurys'!$C91)-S45</f>
        <v>0</v>
      </c>
      <c r="T91" s="4">
        <f>COUNTIF(SISR!T$3:T$80,"="&amp;'verif-jurys'!$C91)-T45</f>
        <v>0</v>
      </c>
      <c r="U91" s="4">
        <f>COUNTIF(SLAM!T$3:T$80,"="&amp;'verif-jurys'!$C91)-U45</f>
        <v>0</v>
      </c>
      <c r="V91" s="4">
        <f>COUNTIF(SISR!V$3:V$80,"="&amp;'verif-jurys'!$C91)-V45</f>
        <v>0</v>
      </c>
      <c r="W91" s="4">
        <f>COUNTIF(SLAM!V$3:V$80,"="&amp;'verif-jurys'!$C91)-W45</f>
        <v>0</v>
      </c>
      <c r="X91" s="4">
        <f>COUNTIF(SISR!X$3:X$80,"="&amp;'verif-jurys'!$C91)-X45</f>
        <v>0</v>
      </c>
      <c r="Y91" s="4">
        <f>COUNTIF(SLAM!X$3:X$80,"="&amp;'verif-jurys'!$C91)-Y45</f>
        <v>0</v>
      </c>
      <c r="Z91" s="4">
        <f>COUNTIF(SISR!Z$3:Z$80,"="&amp;'verif-jurys'!$C91)-Z45</f>
        <v>0</v>
      </c>
      <c r="AA91" s="4">
        <f>COUNTIF(SLAM!Z$3:Z$80,"="&amp;'verif-jurys'!$C91)-AA45</f>
        <v>0</v>
      </c>
      <c r="AB91" s="4">
        <f>COUNTIF(SISR!AB$3:AB$80,"="&amp;'verif-jurys'!$C91)-AB45</f>
        <v>0</v>
      </c>
      <c r="AC91" s="4">
        <f>COUNTIF(SLAM!AB$3:AB$80,"="&amp;'verif-jurys'!$C91)-AC45</f>
        <v>0</v>
      </c>
      <c r="AD91" s="4">
        <f>COUNTIF(SISR!AD$3:AD$80,"="&amp;'verif-jurys'!$C91)-AD45</f>
        <v>0</v>
      </c>
      <c r="AE91" s="4">
        <f>COUNTIF(SLAM!AD$3:AD$80,"="&amp;'verif-jurys'!$C91)-AE45</f>
        <v>0</v>
      </c>
      <c r="AF91" s="4">
        <f>COUNTIF(SISR!AF$3:AF$80,"="&amp;'verif-jurys'!$C91)-AF45</f>
        <v>0</v>
      </c>
      <c r="AG91" s="4">
        <f>COUNTIF(SLAM!AF$3:AF$80,"="&amp;'verif-jurys'!$C91)-AG45</f>
        <v>0</v>
      </c>
      <c r="AH91" s="4">
        <f>COUNTIF(SISR!AH$3:AH$80,"="&amp;'verif-jurys'!$C91)-AH45</f>
        <v>0</v>
      </c>
      <c r="AI91" s="4">
        <f>COUNTIF(SLAM!AH$3:AH$80,"="&amp;'verif-jurys'!$C91)-AI45</f>
        <v>0</v>
      </c>
      <c r="AJ91" s="4">
        <f>COUNTIF(SISR!AJ$3:AJ$80,"="&amp;'verif-jurys'!$C91)-AJ45</f>
        <v>0</v>
      </c>
      <c r="AK91" s="4">
        <f>COUNTIF(SLAM!AJ$3:AJ$80,"="&amp;'verif-jurys'!$C91)-AK45</f>
        <v>0</v>
      </c>
      <c r="AL91" s="4" t="e">
        <f>COUNTIF(SISR!AL$3:AL$80,"="&amp;'verif-jurys'!$C91)-AL45</f>
        <v>#REF!</v>
      </c>
      <c r="AM91" s="4" t="e">
        <f>COUNTIF(SLAM!AL$3:AL$80,"="&amp;'verif-jurys'!$C91)-AM45</f>
        <v>#REF!</v>
      </c>
      <c r="AN91" s="4" t="e">
        <f>COUNTIF(SISR!AN$3:AN$80,"="&amp;'verif-jurys'!$C91)-AN45</f>
        <v>#REF!</v>
      </c>
      <c r="AO91" s="4" t="e">
        <f>COUNTIF(SLAM!AN$3:AN$80,"="&amp;'verif-jurys'!$C91)-AO45</f>
        <v>#REF!</v>
      </c>
    </row>
    <row r="92" spans="3:41" x14ac:dyDescent="0.25">
      <c r="C92" s="4" t="str">
        <f>'E4-2016'!E45</f>
        <v>IFCP</v>
      </c>
      <c r="D92" s="4" t="str">
        <f>'E4-2016'!B45</f>
        <v>IFCP</v>
      </c>
      <c r="E92" s="4" t="str">
        <f>'E4-2016'!D45</f>
        <v>0952242W</v>
      </c>
      <c r="F92" s="4">
        <f>COUNTIF(SISR!F$3:F$80,"="&amp;'verif-jurys'!$C92)-F46</f>
        <v>0</v>
      </c>
      <c r="G92" s="4">
        <f>COUNTIF(SLAM!F$3:F$80,"="&amp;'verif-jurys'!$C92)-G46</f>
        <v>0</v>
      </c>
      <c r="H92" s="4">
        <f>COUNTIF(SISR!H$3:H$80,"="&amp;'verif-jurys'!$C92)-H46</f>
        <v>0</v>
      </c>
      <c r="I92" s="4">
        <f>COUNTIF(SLAM!H$3:H$80,"="&amp;'verif-jurys'!$C92)-I46</f>
        <v>0</v>
      </c>
      <c r="J92" s="4">
        <f>COUNTIF(SISR!J$3:J$80,"="&amp;'verif-jurys'!$C92)-J46</f>
        <v>0</v>
      </c>
      <c r="K92" s="4">
        <f>COUNTIF(SLAM!J$3:J$80,"="&amp;'verif-jurys'!$C92)-K46</f>
        <v>0</v>
      </c>
      <c r="L92" s="4">
        <f>COUNTIF(SISR!L$3:L$80,"="&amp;'verif-jurys'!$C92)-L46</f>
        <v>0</v>
      </c>
      <c r="M92" s="4">
        <f>COUNTIF(SLAM!L$3:L$80,"="&amp;'verif-jurys'!$C92)-M46</f>
        <v>0</v>
      </c>
      <c r="N92" s="4">
        <f>COUNTIF(SISR!N$3:N$80,"="&amp;'verif-jurys'!$C92)-N46</f>
        <v>0</v>
      </c>
      <c r="O92" s="4">
        <f>COUNTIF(SLAM!N$3:N$80,"="&amp;'verif-jurys'!$C92)-O46</f>
        <v>0</v>
      </c>
      <c r="P92" s="4">
        <f>COUNTIF(SISR!P$3:P$80,"="&amp;'verif-jurys'!$C92)-P46</f>
        <v>0</v>
      </c>
      <c r="Q92" s="4">
        <f>COUNTIF(SLAM!P$3:P$80,"="&amp;'verif-jurys'!$C92)-Q46</f>
        <v>0</v>
      </c>
      <c r="R92" s="4">
        <f>COUNTIF(SISR!R$3:R$80,"="&amp;'verif-jurys'!$C92)-R46</f>
        <v>0</v>
      </c>
      <c r="S92" s="4">
        <f>COUNTIF(SLAM!R$3:R$80,"="&amp;'verif-jurys'!$C92)-S46</f>
        <v>0</v>
      </c>
      <c r="T92" s="4">
        <f>COUNTIF(SISR!T$3:T$80,"="&amp;'verif-jurys'!$C92)-T46</f>
        <v>0</v>
      </c>
      <c r="U92" s="4">
        <f>COUNTIF(SLAM!T$3:T$80,"="&amp;'verif-jurys'!$C92)-U46</f>
        <v>0</v>
      </c>
      <c r="V92" s="4">
        <f>COUNTIF(SISR!V$3:V$80,"="&amp;'verif-jurys'!$C92)-V46</f>
        <v>0</v>
      </c>
      <c r="W92" s="4">
        <f>COUNTIF(SLAM!V$3:V$80,"="&amp;'verif-jurys'!$C92)-W46</f>
        <v>0</v>
      </c>
      <c r="X92" s="4">
        <f>COUNTIF(SISR!X$3:X$80,"="&amp;'verif-jurys'!$C92)-X46</f>
        <v>0</v>
      </c>
      <c r="Y92" s="4">
        <f>COUNTIF(SLAM!X$3:X$80,"="&amp;'verif-jurys'!$C92)-Y46</f>
        <v>0</v>
      </c>
      <c r="Z92" s="4">
        <f>COUNTIF(SISR!Z$3:Z$80,"="&amp;'verif-jurys'!$C92)-Z46</f>
        <v>0</v>
      </c>
      <c r="AA92" s="4">
        <f>COUNTIF(SLAM!Z$3:Z$80,"="&amp;'verif-jurys'!$C92)-AA46</f>
        <v>0</v>
      </c>
      <c r="AB92" s="4">
        <f>COUNTIF(SISR!AB$3:AB$80,"="&amp;'verif-jurys'!$C92)-AB46</f>
        <v>0</v>
      </c>
      <c r="AC92" s="4">
        <f>COUNTIF(SLAM!AB$3:AB$80,"="&amp;'verif-jurys'!$C92)-AC46</f>
        <v>0</v>
      </c>
      <c r="AD92" s="4">
        <f>COUNTIF(SISR!AD$3:AD$80,"="&amp;'verif-jurys'!$C92)-AD46</f>
        <v>0</v>
      </c>
      <c r="AE92" s="4">
        <f>COUNTIF(SLAM!AD$3:AD$80,"="&amp;'verif-jurys'!$C92)-AE46</f>
        <v>0</v>
      </c>
      <c r="AF92" s="4">
        <f>COUNTIF(SISR!AF$3:AF$80,"="&amp;'verif-jurys'!$C92)-AF46</f>
        <v>0</v>
      </c>
      <c r="AG92" s="4">
        <f>COUNTIF(SLAM!AF$3:AF$80,"="&amp;'verif-jurys'!$C92)-AG46</f>
        <v>0</v>
      </c>
      <c r="AH92" s="4">
        <f>COUNTIF(SISR!AH$3:AH$80,"="&amp;'verif-jurys'!$C92)-AH46</f>
        <v>0</v>
      </c>
      <c r="AI92" s="4">
        <f>COUNTIF(SLAM!AH$3:AH$80,"="&amp;'verif-jurys'!$C92)-AI46</f>
        <v>0</v>
      </c>
      <c r="AJ92" s="4">
        <f>COUNTIF(SISR!AJ$3:AJ$80,"="&amp;'verif-jurys'!$C92)-AJ46</f>
        <v>0</v>
      </c>
      <c r="AK92" s="4">
        <f>COUNTIF(SLAM!AJ$3:AJ$80,"="&amp;'verif-jurys'!$C92)-AK46</f>
        <v>0</v>
      </c>
      <c r="AL92" s="4" t="e">
        <f>COUNTIF(SISR!AL$3:AL$80,"="&amp;'verif-jurys'!$C92)-AL46</f>
        <v>#REF!</v>
      </c>
      <c r="AM92" s="4" t="e">
        <f>COUNTIF(SLAM!AL$3:AL$80,"="&amp;'verif-jurys'!$C92)-AM46</f>
        <v>#REF!</v>
      </c>
      <c r="AN92" s="4" t="e">
        <f>COUNTIF(SISR!AN$3:AN$80,"="&amp;'verif-jurys'!$C92)-AN46</f>
        <v>#REF!</v>
      </c>
      <c r="AO92" s="4" t="e">
        <f>COUNTIF(SLAM!AN$3:AN$80,"="&amp;'verif-jurys'!$C92)-AO46</f>
        <v>#REF!</v>
      </c>
    </row>
  </sheetData>
  <mergeCells count="36">
    <mergeCell ref="AN2:AO2"/>
    <mergeCell ref="AN48:AO48"/>
    <mergeCell ref="AF2:AG2"/>
    <mergeCell ref="AH2:AI2"/>
    <mergeCell ref="R48:S48"/>
    <mergeCell ref="T48:U48"/>
    <mergeCell ref="X2:Y2"/>
    <mergeCell ref="Z2:AA2"/>
    <mergeCell ref="AB2:AC2"/>
    <mergeCell ref="AH48:AI48"/>
    <mergeCell ref="AJ48:AK48"/>
    <mergeCell ref="AL48:AM48"/>
    <mergeCell ref="AJ2:AK2"/>
    <mergeCell ref="AL2:AM2"/>
    <mergeCell ref="F48:G48"/>
    <mergeCell ref="H48:I48"/>
    <mergeCell ref="J48:K48"/>
    <mergeCell ref="L48:M48"/>
    <mergeCell ref="N48:O48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F48:AG48"/>
    <mergeCell ref="V48:W48"/>
    <mergeCell ref="X48:Y48"/>
    <mergeCell ref="Z48:AA48"/>
    <mergeCell ref="AB48:AC48"/>
    <mergeCell ref="AD48:AE48"/>
    <mergeCell ref="P48:Q48"/>
    <mergeCell ref="AD2:AE2"/>
  </mergeCells>
  <conditionalFormatting sqref="F50:AM92">
    <cfRule type="cellIs" dxfId="5" priority="4" operator="between">
      <formula>1</formula>
      <formula>10</formula>
    </cfRule>
    <cfRule type="cellIs" dxfId="4" priority="5" operator="between">
      <formula>-1</formula>
      <formula>-10</formula>
    </cfRule>
    <cfRule type="cellIs" dxfId="3" priority="6" operator="between">
      <formula>0</formula>
      <formula>0</formula>
    </cfRule>
  </conditionalFormatting>
  <conditionalFormatting sqref="AN50:AO92">
    <cfRule type="cellIs" dxfId="2" priority="1" operator="between">
      <formula>1</formula>
      <formula>10</formula>
    </cfRule>
    <cfRule type="cellIs" dxfId="1" priority="2" operator="between">
      <formula>-1</formula>
      <formula>-10</formula>
    </cfRule>
    <cfRule type="cellIs" dxfId="0" priority="3" operator="between">
      <formula>0</formula>
      <formula>0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D535"/>
  <sheetViews>
    <sheetView topLeftCell="A339" workbookViewId="0">
      <selection activeCell="D534" sqref="D534"/>
    </sheetView>
  </sheetViews>
  <sheetFormatPr baseColWidth="10" defaultRowHeight="15" x14ac:dyDescent="0.25"/>
  <sheetData>
    <row r="1" spans="1:4" x14ac:dyDescent="0.25">
      <c r="A1" t="s">
        <v>117</v>
      </c>
      <c r="B1" t="s">
        <v>118</v>
      </c>
      <c r="C1" t="s">
        <v>119</v>
      </c>
      <c r="D1" t="s">
        <v>120</v>
      </c>
    </row>
    <row r="2" spans="1:4" x14ac:dyDescent="0.25">
      <c r="A2">
        <v>64</v>
      </c>
      <c r="B2" t="s">
        <v>128</v>
      </c>
      <c r="C2" s="2" t="s">
        <v>187</v>
      </c>
      <c r="D2" t="s">
        <v>114</v>
      </c>
    </row>
    <row r="3" spans="1:4" x14ac:dyDescent="0.25">
      <c r="A3">
        <v>64</v>
      </c>
      <c r="B3" t="s">
        <v>128</v>
      </c>
      <c r="C3" s="2" t="s">
        <v>124</v>
      </c>
      <c r="D3" t="s">
        <v>114</v>
      </c>
    </row>
    <row r="4" spans="1:4" x14ac:dyDescent="0.25">
      <c r="A4">
        <v>64</v>
      </c>
      <c r="B4" t="s">
        <v>10</v>
      </c>
      <c r="C4" s="2" t="s">
        <v>218</v>
      </c>
      <c r="D4" t="s">
        <v>114</v>
      </c>
    </row>
    <row r="5" spans="1:4" x14ac:dyDescent="0.25">
      <c r="A5">
        <v>64</v>
      </c>
      <c r="B5" t="s">
        <v>10</v>
      </c>
      <c r="C5" s="2" t="s">
        <v>50</v>
      </c>
      <c r="D5" t="s">
        <v>114</v>
      </c>
    </row>
    <row r="6" spans="1:4" x14ac:dyDescent="0.25">
      <c r="A6">
        <v>483</v>
      </c>
      <c r="B6" t="s">
        <v>41</v>
      </c>
      <c r="C6" s="2" t="s">
        <v>187</v>
      </c>
      <c r="D6" t="s">
        <v>114</v>
      </c>
    </row>
    <row r="7" spans="1:4" x14ac:dyDescent="0.25">
      <c r="A7">
        <v>483</v>
      </c>
      <c r="B7" t="s">
        <v>41</v>
      </c>
      <c r="C7" s="2" t="s">
        <v>124</v>
      </c>
      <c r="D7" t="s">
        <v>114</v>
      </c>
    </row>
    <row r="8" spans="1:4" x14ac:dyDescent="0.25">
      <c r="A8">
        <v>483</v>
      </c>
      <c r="B8" t="s">
        <v>234</v>
      </c>
      <c r="C8" s="2" t="s">
        <v>50</v>
      </c>
      <c r="D8" t="s">
        <v>114</v>
      </c>
    </row>
    <row r="9" spans="1:4" x14ac:dyDescent="0.25">
      <c r="A9">
        <v>483</v>
      </c>
      <c r="B9" t="s">
        <v>40</v>
      </c>
      <c r="C9" s="2" t="s">
        <v>133</v>
      </c>
      <c r="D9" t="s">
        <v>114</v>
      </c>
    </row>
    <row r="10" spans="1:4" x14ac:dyDescent="0.25">
      <c r="A10">
        <v>510</v>
      </c>
      <c r="B10" t="s">
        <v>237</v>
      </c>
      <c r="C10" s="2" t="s">
        <v>46</v>
      </c>
      <c r="D10" t="s">
        <v>115</v>
      </c>
    </row>
    <row r="11" spans="1:4" x14ac:dyDescent="0.25">
      <c r="A11">
        <v>510</v>
      </c>
      <c r="B11" t="s">
        <v>192</v>
      </c>
      <c r="C11" s="2" t="s">
        <v>137</v>
      </c>
      <c r="D11" t="s">
        <v>114</v>
      </c>
    </row>
    <row r="12" spans="1:4" x14ac:dyDescent="0.25">
      <c r="A12">
        <v>510</v>
      </c>
      <c r="B12" t="s">
        <v>192</v>
      </c>
      <c r="C12" s="2" t="s">
        <v>132</v>
      </c>
      <c r="D12" t="s">
        <v>114</v>
      </c>
    </row>
    <row r="13" spans="1:4" x14ac:dyDescent="0.25">
      <c r="A13">
        <v>511</v>
      </c>
      <c r="B13" t="s">
        <v>128</v>
      </c>
      <c r="C13" s="2" t="s">
        <v>187</v>
      </c>
      <c r="D13" t="s">
        <v>115</v>
      </c>
    </row>
    <row r="14" spans="1:4" x14ac:dyDescent="0.25">
      <c r="A14">
        <v>511</v>
      </c>
      <c r="B14" t="s">
        <v>128</v>
      </c>
      <c r="C14" s="2" t="s">
        <v>124</v>
      </c>
      <c r="D14" t="s">
        <v>115</v>
      </c>
    </row>
    <row r="15" spans="1:4" x14ac:dyDescent="0.25">
      <c r="A15">
        <v>511</v>
      </c>
      <c r="B15" t="s">
        <v>14</v>
      </c>
      <c r="C15" s="2" t="s">
        <v>54</v>
      </c>
      <c r="D15" t="s">
        <v>115</v>
      </c>
    </row>
    <row r="16" spans="1:4" x14ac:dyDescent="0.25">
      <c r="A16">
        <v>511</v>
      </c>
      <c r="B16" t="s">
        <v>14</v>
      </c>
      <c r="C16" s="2" t="s">
        <v>55</v>
      </c>
      <c r="D16" t="s">
        <v>115</v>
      </c>
    </row>
    <row r="17" spans="1:4" x14ac:dyDescent="0.25">
      <c r="A17">
        <v>511</v>
      </c>
      <c r="B17" t="s">
        <v>14</v>
      </c>
      <c r="C17" s="2" t="s">
        <v>138</v>
      </c>
      <c r="D17" t="s">
        <v>115</v>
      </c>
    </row>
    <row r="18" spans="1:4" x14ac:dyDescent="0.25">
      <c r="A18">
        <v>67</v>
      </c>
      <c r="B18" t="s">
        <v>128</v>
      </c>
      <c r="C18" s="2" t="s">
        <v>46</v>
      </c>
      <c r="D18" t="s">
        <v>115</v>
      </c>
    </row>
    <row r="19" spans="1:4" x14ac:dyDescent="0.25">
      <c r="A19">
        <v>67</v>
      </c>
      <c r="B19" t="s">
        <v>128</v>
      </c>
      <c r="C19" s="2" t="s">
        <v>47</v>
      </c>
      <c r="D19" t="s">
        <v>115</v>
      </c>
    </row>
    <row r="20" spans="1:4" x14ac:dyDescent="0.25">
      <c r="A20">
        <v>67</v>
      </c>
      <c r="B20" t="s">
        <v>10</v>
      </c>
      <c r="C20" s="2" t="s">
        <v>51</v>
      </c>
      <c r="D20" t="s">
        <v>114</v>
      </c>
    </row>
    <row r="21" spans="1:4" x14ac:dyDescent="0.25">
      <c r="A21">
        <v>67</v>
      </c>
      <c r="B21" t="s">
        <v>10</v>
      </c>
      <c r="C21" s="2" t="s">
        <v>137</v>
      </c>
      <c r="D21" t="s">
        <v>114</v>
      </c>
    </row>
    <row r="22" spans="1:4" x14ac:dyDescent="0.25">
      <c r="A22">
        <v>484</v>
      </c>
      <c r="B22" t="s">
        <v>41</v>
      </c>
      <c r="C22" s="2" t="s">
        <v>46</v>
      </c>
      <c r="D22" t="s">
        <v>114</v>
      </c>
    </row>
    <row r="23" spans="1:4" x14ac:dyDescent="0.25">
      <c r="A23">
        <v>484</v>
      </c>
      <c r="B23" t="s">
        <v>41</v>
      </c>
      <c r="C23" s="2" t="s">
        <v>47</v>
      </c>
      <c r="D23" t="s">
        <v>114</v>
      </c>
    </row>
    <row r="24" spans="1:4" x14ac:dyDescent="0.25">
      <c r="A24">
        <v>484</v>
      </c>
      <c r="B24" t="s">
        <v>41</v>
      </c>
      <c r="C24" s="2" t="s">
        <v>50</v>
      </c>
      <c r="D24" t="s">
        <v>115</v>
      </c>
    </row>
    <row r="25" spans="1:4" x14ac:dyDescent="0.25">
      <c r="A25">
        <v>484</v>
      </c>
      <c r="B25" t="s">
        <v>40</v>
      </c>
      <c r="C25" s="2" t="s">
        <v>125</v>
      </c>
      <c r="D25" t="s">
        <v>115</v>
      </c>
    </row>
    <row r="26" spans="1:4" x14ac:dyDescent="0.25">
      <c r="A26">
        <v>484</v>
      </c>
      <c r="B26" t="s">
        <v>40</v>
      </c>
      <c r="C26" s="2" t="s">
        <v>54</v>
      </c>
      <c r="D26" t="s">
        <v>115</v>
      </c>
    </row>
    <row r="27" spans="1:4" x14ac:dyDescent="0.25">
      <c r="A27">
        <v>410</v>
      </c>
      <c r="B27" t="s">
        <v>65</v>
      </c>
      <c r="C27" s="2" t="s">
        <v>132</v>
      </c>
      <c r="D27" t="s">
        <v>114</v>
      </c>
    </row>
    <row r="28" spans="1:4" x14ac:dyDescent="0.25">
      <c r="A28">
        <v>410</v>
      </c>
      <c r="B28" t="s">
        <v>65</v>
      </c>
      <c r="C28" s="2" t="s">
        <v>125</v>
      </c>
      <c r="D28" t="s">
        <v>114</v>
      </c>
    </row>
    <row r="29" spans="1:4" x14ac:dyDescent="0.25">
      <c r="A29">
        <v>410</v>
      </c>
      <c r="B29" t="s">
        <v>65</v>
      </c>
      <c r="C29" s="2" t="s">
        <v>138</v>
      </c>
      <c r="D29" t="s">
        <v>114</v>
      </c>
    </row>
    <row r="30" spans="1:4" x14ac:dyDescent="0.25">
      <c r="A30">
        <v>410</v>
      </c>
      <c r="B30" t="s">
        <v>65</v>
      </c>
      <c r="C30" s="2" t="s">
        <v>133</v>
      </c>
      <c r="D30" t="s">
        <v>114</v>
      </c>
    </row>
    <row r="31" spans="1:4" x14ac:dyDescent="0.25">
      <c r="A31">
        <v>460</v>
      </c>
      <c r="B31" t="s">
        <v>41</v>
      </c>
      <c r="C31" s="2" t="s">
        <v>47</v>
      </c>
      <c r="D31" t="s">
        <v>115</v>
      </c>
    </row>
    <row r="32" spans="1:4" x14ac:dyDescent="0.25">
      <c r="A32">
        <v>460</v>
      </c>
      <c r="B32" t="s">
        <v>128</v>
      </c>
      <c r="C32" s="2" t="s">
        <v>188</v>
      </c>
      <c r="D32" t="s">
        <v>115</v>
      </c>
    </row>
    <row r="33" spans="1:4" x14ac:dyDescent="0.25">
      <c r="A33">
        <v>460</v>
      </c>
      <c r="B33" t="s">
        <v>128</v>
      </c>
      <c r="C33" s="2" t="s">
        <v>189</v>
      </c>
      <c r="D33" t="s">
        <v>115</v>
      </c>
    </row>
    <row r="34" spans="1:4" x14ac:dyDescent="0.25">
      <c r="A34">
        <v>460</v>
      </c>
      <c r="B34" t="s">
        <v>10</v>
      </c>
      <c r="C34" s="2" t="s">
        <v>51</v>
      </c>
      <c r="D34" t="s">
        <v>115</v>
      </c>
    </row>
    <row r="35" spans="1:4" x14ac:dyDescent="0.25">
      <c r="A35">
        <v>460</v>
      </c>
      <c r="B35" t="s">
        <v>273</v>
      </c>
      <c r="C35" s="2" t="s">
        <v>133</v>
      </c>
      <c r="D35" t="s">
        <v>114</v>
      </c>
    </row>
    <row r="36" spans="1:4" x14ac:dyDescent="0.25">
      <c r="A36">
        <v>133</v>
      </c>
      <c r="B36" t="s">
        <v>41</v>
      </c>
      <c r="C36" s="2" t="s">
        <v>124</v>
      </c>
      <c r="D36" t="s">
        <v>115</v>
      </c>
    </row>
    <row r="37" spans="1:4" x14ac:dyDescent="0.25">
      <c r="A37">
        <v>133</v>
      </c>
      <c r="B37" t="s">
        <v>41</v>
      </c>
      <c r="C37" s="2" t="s">
        <v>46</v>
      </c>
      <c r="D37" t="s">
        <v>115</v>
      </c>
    </row>
    <row r="38" spans="1:4" x14ac:dyDescent="0.25">
      <c r="A38">
        <v>133</v>
      </c>
      <c r="B38" t="s">
        <v>128</v>
      </c>
      <c r="C38" s="2" t="s">
        <v>218</v>
      </c>
      <c r="D38" t="s">
        <v>115</v>
      </c>
    </row>
    <row r="39" spans="1:4" x14ac:dyDescent="0.25">
      <c r="A39">
        <v>133</v>
      </c>
      <c r="B39" t="s">
        <v>128</v>
      </c>
      <c r="C39" s="2" t="s">
        <v>50</v>
      </c>
      <c r="D39" t="s">
        <v>115</v>
      </c>
    </row>
    <row r="40" spans="1:4" x14ac:dyDescent="0.25">
      <c r="A40">
        <v>133</v>
      </c>
      <c r="B40" t="s">
        <v>34</v>
      </c>
      <c r="C40" s="2" t="s">
        <v>51</v>
      </c>
      <c r="D40" t="s">
        <v>114</v>
      </c>
    </row>
    <row r="41" spans="1:4" x14ac:dyDescent="0.25">
      <c r="A41">
        <v>133</v>
      </c>
      <c r="B41" t="s">
        <v>34</v>
      </c>
      <c r="C41" s="2" t="s">
        <v>137</v>
      </c>
      <c r="D41" t="s">
        <v>114</v>
      </c>
    </row>
    <row r="42" spans="1:4" x14ac:dyDescent="0.25">
      <c r="A42">
        <v>486</v>
      </c>
      <c r="B42" t="s">
        <v>41</v>
      </c>
      <c r="C42" s="2" t="s">
        <v>188</v>
      </c>
      <c r="D42" t="s">
        <v>114</v>
      </c>
    </row>
    <row r="43" spans="1:4" x14ac:dyDescent="0.25">
      <c r="A43">
        <v>486</v>
      </c>
      <c r="B43" t="s">
        <v>143</v>
      </c>
      <c r="C43" s="2" t="s">
        <v>137</v>
      </c>
      <c r="D43" t="s">
        <v>114</v>
      </c>
    </row>
    <row r="44" spans="1:4" x14ac:dyDescent="0.25">
      <c r="A44">
        <v>486</v>
      </c>
      <c r="B44" t="s">
        <v>143</v>
      </c>
      <c r="C44" s="2" t="s">
        <v>132</v>
      </c>
      <c r="D44" t="s">
        <v>114</v>
      </c>
    </row>
    <row r="45" spans="1:4" x14ac:dyDescent="0.25">
      <c r="A45">
        <v>486</v>
      </c>
      <c r="B45" t="s">
        <v>40</v>
      </c>
      <c r="C45" s="2" t="s">
        <v>55</v>
      </c>
      <c r="D45" t="s">
        <v>115</v>
      </c>
    </row>
    <row r="46" spans="1:4" x14ac:dyDescent="0.25">
      <c r="A46">
        <v>486</v>
      </c>
      <c r="B46" t="s">
        <v>40</v>
      </c>
      <c r="C46" s="2" t="s">
        <v>138</v>
      </c>
      <c r="D46" t="s">
        <v>115</v>
      </c>
    </row>
    <row r="47" spans="1:4" x14ac:dyDescent="0.25">
      <c r="A47">
        <v>543</v>
      </c>
      <c r="B47" t="s">
        <v>237</v>
      </c>
      <c r="C47" s="2" t="s">
        <v>46</v>
      </c>
      <c r="D47" t="s">
        <v>114</v>
      </c>
    </row>
    <row r="48" spans="1:4" x14ac:dyDescent="0.25">
      <c r="A48">
        <v>543</v>
      </c>
      <c r="B48" t="s">
        <v>237</v>
      </c>
      <c r="C48" s="2" t="s">
        <v>47</v>
      </c>
      <c r="D48" t="s">
        <v>114</v>
      </c>
    </row>
    <row r="49" spans="1:4" x14ac:dyDescent="0.25">
      <c r="A49">
        <v>543</v>
      </c>
      <c r="B49" t="s">
        <v>41</v>
      </c>
      <c r="C49" s="2" t="s">
        <v>218</v>
      </c>
      <c r="D49" t="s">
        <v>114</v>
      </c>
    </row>
    <row r="50" spans="1:4" x14ac:dyDescent="0.25">
      <c r="A50">
        <v>543</v>
      </c>
      <c r="B50" t="s">
        <v>41</v>
      </c>
      <c r="C50" s="2" t="s">
        <v>50</v>
      </c>
      <c r="D50" t="s">
        <v>114</v>
      </c>
    </row>
    <row r="51" spans="1:4" x14ac:dyDescent="0.25">
      <c r="A51">
        <v>462</v>
      </c>
      <c r="B51" t="s">
        <v>148</v>
      </c>
      <c r="C51" s="2" t="s">
        <v>46</v>
      </c>
      <c r="D51" t="s">
        <v>114</v>
      </c>
    </row>
    <row r="52" spans="1:4" x14ac:dyDescent="0.25">
      <c r="A52">
        <v>462</v>
      </c>
      <c r="B52" t="s">
        <v>148</v>
      </c>
      <c r="C52" s="2" t="s">
        <v>47</v>
      </c>
      <c r="D52" t="s">
        <v>114</v>
      </c>
    </row>
    <row r="53" spans="1:4" x14ac:dyDescent="0.25">
      <c r="A53">
        <v>462</v>
      </c>
      <c r="B53" t="s">
        <v>41</v>
      </c>
      <c r="C53" s="2" t="s">
        <v>218</v>
      </c>
      <c r="D53" t="s">
        <v>115</v>
      </c>
    </row>
    <row r="54" spans="1:4" x14ac:dyDescent="0.25">
      <c r="A54">
        <v>488</v>
      </c>
      <c r="B54" t="s">
        <v>128</v>
      </c>
      <c r="C54" s="2" t="s">
        <v>188</v>
      </c>
      <c r="D54" t="s">
        <v>114</v>
      </c>
    </row>
    <row r="55" spans="1:4" x14ac:dyDescent="0.25">
      <c r="A55">
        <v>488</v>
      </c>
      <c r="B55" t="s">
        <v>128</v>
      </c>
      <c r="C55" s="2" t="s">
        <v>137</v>
      </c>
      <c r="D55" t="s">
        <v>115</v>
      </c>
    </row>
    <row r="56" spans="1:4" x14ac:dyDescent="0.25">
      <c r="A56">
        <v>488</v>
      </c>
      <c r="B56" t="s">
        <v>41</v>
      </c>
      <c r="C56" s="2" t="s">
        <v>132</v>
      </c>
      <c r="D56" t="s">
        <v>114</v>
      </c>
    </row>
    <row r="57" spans="1:4" x14ac:dyDescent="0.25">
      <c r="A57">
        <v>488</v>
      </c>
      <c r="B57" t="s">
        <v>41</v>
      </c>
      <c r="C57" s="2" t="s">
        <v>125</v>
      </c>
      <c r="D57" t="s">
        <v>114</v>
      </c>
    </row>
    <row r="58" spans="1:4" x14ac:dyDescent="0.25">
      <c r="A58">
        <v>488</v>
      </c>
      <c r="B58" t="s">
        <v>205</v>
      </c>
      <c r="C58" s="2" t="s">
        <v>55</v>
      </c>
      <c r="D58" t="s">
        <v>114</v>
      </c>
    </row>
    <row r="59" spans="1:4" x14ac:dyDescent="0.25">
      <c r="A59">
        <v>489</v>
      </c>
      <c r="B59" t="s">
        <v>143</v>
      </c>
      <c r="C59" s="2" t="s">
        <v>50</v>
      </c>
      <c r="D59" t="s">
        <v>114</v>
      </c>
    </row>
    <row r="60" spans="1:4" x14ac:dyDescent="0.25">
      <c r="A60">
        <v>489</v>
      </c>
      <c r="B60" t="s">
        <v>143</v>
      </c>
      <c r="C60" s="2" t="s">
        <v>51</v>
      </c>
      <c r="D60" t="s">
        <v>114</v>
      </c>
    </row>
    <row r="61" spans="1:4" x14ac:dyDescent="0.25">
      <c r="A61">
        <v>489</v>
      </c>
      <c r="B61" t="s">
        <v>256</v>
      </c>
      <c r="C61" s="2" t="s">
        <v>138</v>
      </c>
      <c r="D61" t="s">
        <v>114</v>
      </c>
    </row>
    <row r="62" spans="1:4" x14ac:dyDescent="0.25">
      <c r="A62">
        <v>489</v>
      </c>
      <c r="B62" t="s">
        <v>256</v>
      </c>
      <c r="C62" s="2" t="s">
        <v>133</v>
      </c>
      <c r="D62" t="s">
        <v>114</v>
      </c>
    </row>
    <row r="63" spans="1:4" x14ac:dyDescent="0.25">
      <c r="A63">
        <v>77</v>
      </c>
      <c r="B63" t="s">
        <v>226</v>
      </c>
      <c r="C63" s="2" t="s">
        <v>188</v>
      </c>
      <c r="D63" t="s">
        <v>114</v>
      </c>
    </row>
    <row r="64" spans="1:4" x14ac:dyDescent="0.25">
      <c r="A64">
        <v>77</v>
      </c>
      <c r="B64" t="s">
        <v>226</v>
      </c>
      <c r="C64" s="2" t="s">
        <v>189</v>
      </c>
      <c r="D64" t="s">
        <v>114</v>
      </c>
    </row>
    <row r="65" spans="1:4" x14ac:dyDescent="0.25">
      <c r="A65">
        <v>77</v>
      </c>
      <c r="B65" t="s">
        <v>128</v>
      </c>
      <c r="C65" s="2" t="s">
        <v>132</v>
      </c>
      <c r="D65" t="s">
        <v>114</v>
      </c>
    </row>
    <row r="66" spans="1:4" x14ac:dyDescent="0.25">
      <c r="A66">
        <v>77</v>
      </c>
      <c r="B66" t="s">
        <v>260</v>
      </c>
      <c r="C66" s="2" t="s">
        <v>55</v>
      </c>
      <c r="D66" t="s">
        <v>114</v>
      </c>
    </row>
    <row r="67" spans="1:4" x14ac:dyDescent="0.25">
      <c r="A67">
        <v>77</v>
      </c>
      <c r="B67" t="s">
        <v>260</v>
      </c>
      <c r="C67" s="2" t="s">
        <v>138</v>
      </c>
      <c r="D67" t="s">
        <v>114</v>
      </c>
    </row>
    <row r="68" spans="1:4" x14ac:dyDescent="0.25">
      <c r="A68">
        <v>285</v>
      </c>
      <c r="B68" t="s">
        <v>198</v>
      </c>
      <c r="C68" s="2" t="s">
        <v>189</v>
      </c>
      <c r="D68" t="s">
        <v>114</v>
      </c>
    </row>
    <row r="69" spans="1:4" x14ac:dyDescent="0.25">
      <c r="A69">
        <v>285</v>
      </c>
      <c r="B69" t="s">
        <v>41</v>
      </c>
      <c r="C69" s="2" t="s">
        <v>51</v>
      </c>
      <c r="D69" t="s">
        <v>114</v>
      </c>
    </row>
    <row r="70" spans="1:4" x14ac:dyDescent="0.25">
      <c r="A70">
        <v>285</v>
      </c>
      <c r="B70" t="s">
        <v>41</v>
      </c>
      <c r="C70" s="2" t="s">
        <v>137</v>
      </c>
      <c r="D70" t="s">
        <v>114</v>
      </c>
    </row>
    <row r="71" spans="1:4" x14ac:dyDescent="0.25">
      <c r="A71">
        <v>285</v>
      </c>
      <c r="B71" t="s">
        <v>128</v>
      </c>
      <c r="C71" s="2" t="s">
        <v>54</v>
      </c>
      <c r="D71" t="s">
        <v>114</v>
      </c>
    </row>
    <row r="72" spans="1:4" x14ac:dyDescent="0.25">
      <c r="A72">
        <v>285</v>
      </c>
      <c r="B72" t="s">
        <v>128</v>
      </c>
      <c r="C72" s="2" t="s">
        <v>55</v>
      </c>
      <c r="D72" t="s">
        <v>114</v>
      </c>
    </row>
    <row r="73" spans="1:4" x14ac:dyDescent="0.25">
      <c r="A73">
        <v>22</v>
      </c>
      <c r="B73" t="s">
        <v>22</v>
      </c>
      <c r="C73" s="2" t="s">
        <v>46</v>
      </c>
      <c r="D73" t="s">
        <v>114</v>
      </c>
    </row>
    <row r="74" spans="1:4" x14ac:dyDescent="0.25">
      <c r="A74">
        <v>22</v>
      </c>
      <c r="B74" t="s">
        <v>63</v>
      </c>
      <c r="C74" s="2" t="s">
        <v>218</v>
      </c>
      <c r="D74" t="s">
        <v>114</v>
      </c>
    </row>
    <row r="75" spans="1:4" x14ac:dyDescent="0.25">
      <c r="A75">
        <v>22</v>
      </c>
      <c r="B75" t="s">
        <v>63</v>
      </c>
      <c r="C75" s="2" t="s">
        <v>50</v>
      </c>
      <c r="D75" t="s">
        <v>114</v>
      </c>
    </row>
    <row r="76" spans="1:4" x14ac:dyDescent="0.25">
      <c r="A76">
        <v>22</v>
      </c>
      <c r="B76" t="s">
        <v>63</v>
      </c>
      <c r="C76" s="2" t="s">
        <v>132</v>
      </c>
      <c r="D76" t="s">
        <v>114</v>
      </c>
    </row>
    <row r="77" spans="1:4" x14ac:dyDescent="0.25">
      <c r="A77">
        <v>22</v>
      </c>
      <c r="B77" t="s">
        <v>63</v>
      </c>
      <c r="C77" s="2" t="s">
        <v>125</v>
      </c>
      <c r="D77" t="s">
        <v>114</v>
      </c>
    </row>
    <row r="78" spans="1:4" x14ac:dyDescent="0.25">
      <c r="A78">
        <v>81</v>
      </c>
      <c r="B78" t="s">
        <v>223</v>
      </c>
      <c r="C78" s="2" t="s">
        <v>46</v>
      </c>
      <c r="D78" t="s">
        <v>114</v>
      </c>
    </row>
    <row r="79" spans="1:4" x14ac:dyDescent="0.25">
      <c r="A79">
        <v>81</v>
      </c>
      <c r="B79" t="s">
        <v>223</v>
      </c>
      <c r="C79" s="2" t="s">
        <v>47</v>
      </c>
      <c r="D79" t="s">
        <v>114</v>
      </c>
    </row>
    <row r="80" spans="1:4" x14ac:dyDescent="0.25">
      <c r="A80">
        <v>81</v>
      </c>
      <c r="B80" t="s">
        <v>128</v>
      </c>
      <c r="C80" s="2" t="s">
        <v>50</v>
      </c>
      <c r="D80" t="s">
        <v>114</v>
      </c>
    </row>
    <row r="81" spans="1:4" x14ac:dyDescent="0.25">
      <c r="A81">
        <v>81</v>
      </c>
      <c r="B81" t="s">
        <v>128</v>
      </c>
      <c r="C81" s="2" t="s">
        <v>138</v>
      </c>
      <c r="D81" t="s">
        <v>114</v>
      </c>
    </row>
    <row r="82" spans="1:4" x14ac:dyDescent="0.25">
      <c r="A82">
        <v>429</v>
      </c>
      <c r="B82" t="s">
        <v>30</v>
      </c>
      <c r="C82" s="2" t="s">
        <v>124</v>
      </c>
      <c r="D82" t="s">
        <v>114</v>
      </c>
    </row>
    <row r="83" spans="1:4" x14ac:dyDescent="0.25">
      <c r="A83">
        <v>429</v>
      </c>
      <c r="B83" t="s">
        <v>195</v>
      </c>
      <c r="C83" s="2" t="s">
        <v>189</v>
      </c>
      <c r="D83" t="s">
        <v>114</v>
      </c>
    </row>
    <row r="84" spans="1:4" x14ac:dyDescent="0.25">
      <c r="A84">
        <v>429</v>
      </c>
      <c r="B84" t="s">
        <v>195</v>
      </c>
      <c r="C84" s="2" t="s">
        <v>218</v>
      </c>
      <c r="D84" t="s">
        <v>114</v>
      </c>
    </row>
    <row r="85" spans="1:4" x14ac:dyDescent="0.25">
      <c r="A85">
        <v>429</v>
      </c>
      <c r="B85" t="s">
        <v>128</v>
      </c>
      <c r="C85" s="2" t="s">
        <v>125</v>
      </c>
      <c r="D85" t="s">
        <v>114</v>
      </c>
    </row>
    <row r="86" spans="1:4" x14ac:dyDescent="0.25">
      <c r="A86">
        <v>429</v>
      </c>
      <c r="B86" t="s">
        <v>214</v>
      </c>
      <c r="C86" s="2" t="s">
        <v>133</v>
      </c>
      <c r="D86" t="s">
        <v>114</v>
      </c>
    </row>
    <row r="87" spans="1:4" x14ac:dyDescent="0.25">
      <c r="A87">
        <v>547</v>
      </c>
      <c r="B87" t="s">
        <v>202</v>
      </c>
      <c r="C87" s="2" t="s">
        <v>187</v>
      </c>
      <c r="D87" t="s">
        <v>114</v>
      </c>
    </row>
    <row r="88" spans="1:4" x14ac:dyDescent="0.25">
      <c r="A88">
        <v>547</v>
      </c>
      <c r="B88" t="s">
        <v>202</v>
      </c>
      <c r="C88" s="2" t="s">
        <v>124</v>
      </c>
      <c r="D88" t="s">
        <v>114</v>
      </c>
    </row>
    <row r="89" spans="1:4" x14ac:dyDescent="0.25">
      <c r="A89">
        <v>547</v>
      </c>
      <c r="B89" t="s">
        <v>35</v>
      </c>
      <c r="C89" s="2" t="s">
        <v>46</v>
      </c>
      <c r="D89" t="s">
        <v>114</v>
      </c>
    </row>
    <row r="90" spans="1:4" x14ac:dyDescent="0.25">
      <c r="A90">
        <v>547</v>
      </c>
      <c r="B90" t="s">
        <v>35</v>
      </c>
      <c r="C90" s="2" t="s">
        <v>47</v>
      </c>
      <c r="D90" t="s">
        <v>114</v>
      </c>
    </row>
    <row r="91" spans="1:4" x14ac:dyDescent="0.25">
      <c r="A91">
        <v>547</v>
      </c>
      <c r="B91" t="s">
        <v>41</v>
      </c>
      <c r="C91" s="2" t="s">
        <v>51</v>
      </c>
      <c r="D91" t="s">
        <v>115</v>
      </c>
    </row>
    <row r="92" spans="1:4" x14ac:dyDescent="0.25">
      <c r="A92">
        <v>514</v>
      </c>
      <c r="B92" t="s">
        <v>143</v>
      </c>
      <c r="C92" s="2" t="s">
        <v>125</v>
      </c>
      <c r="D92" t="s">
        <v>114</v>
      </c>
    </row>
    <row r="93" spans="1:4" x14ac:dyDescent="0.25">
      <c r="A93">
        <v>514</v>
      </c>
      <c r="B93" t="s">
        <v>41</v>
      </c>
      <c r="C93" s="2" t="s">
        <v>54</v>
      </c>
      <c r="D93" t="s">
        <v>114</v>
      </c>
    </row>
    <row r="94" spans="1:4" x14ac:dyDescent="0.25">
      <c r="A94">
        <v>514</v>
      </c>
      <c r="B94" t="s">
        <v>41</v>
      </c>
      <c r="C94" s="2" t="s">
        <v>55</v>
      </c>
      <c r="D94" t="s">
        <v>114</v>
      </c>
    </row>
    <row r="95" spans="1:4" x14ac:dyDescent="0.25">
      <c r="A95">
        <v>514</v>
      </c>
      <c r="B95" t="s">
        <v>260</v>
      </c>
      <c r="C95" s="2" t="s">
        <v>133</v>
      </c>
      <c r="D95" t="s">
        <v>114</v>
      </c>
    </row>
    <row r="96" spans="1:4" x14ac:dyDescent="0.25">
      <c r="A96">
        <v>302</v>
      </c>
      <c r="B96" t="s">
        <v>41</v>
      </c>
      <c r="C96" s="2" t="s">
        <v>132</v>
      </c>
      <c r="D96" t="s">
        <v>115</v>
      </c>
    </row>
    <row r="97" spans="1:4" x14ac:dyDescent="0.25">
      <c r="A97">
        <v>302</v>
      </c>
      <c r="B97" t="s">
        <v>41</v>
      </c>
      <c r="C97" s="2" t="s">
        <v>125</v>
      </c>
      <c r="D97" t="s">
        <v>115</v>
      </c>
    </row>
    <row r="98" spans="1:4" x14ac:dyDescent="0.25">
      <c r="A98">
        <v>302</v>
      </c>
      <c r="B98" t="s">
        <v>128</v>
      </c>
      <c r="C98" s="2" t="s">
        <v>54</v>
      </c>
      <c r="D98" t="s">
        <v>115</v>
      </c>
    </row>
    <row r="99" spans="1:4" x14ac:dyDescent="0.25">
      <c r="A99">
        <v>302</v>
      </c>
      <c r="B99" t="s">
        <v>128</v>
      </c>
      <c r="C99" s="2" t="s">
        <v>55</v>
      </c>
      <c r="D99" t="s">
        <v>115</v>
      </c>
    </row>
    <row r="100" spans="1:4" x14ac:dyDescent="0.25">
      <c r="A100">
        <v>88</v>
      </c>
      <c r="B100" t="s">
        <v>234</v>
      </c>
      <c r="C100" s="2" t="s">
        <v>47</v>
      </c>
      <c r="D100" t="s">
        <v>114</v>
      </c>
    </row>
    <row r="101" spans="1:4" x14ac:dyDescent="0.25">
      <c r="A101">
        <v>88</v>
      </c>
      <c r="B101" t="s">
        <v>234</v>
      </c>
      <c r="C101" s="2" t="s">
        <v>188</v>
      </c>
      <c r="D101" t="s">
        <v>114</v>
      </c>
    </row>
    <row r="102" spans="1:4" x14ac:dyDescent="0.25">
      <c r="A102">
        <v>88</v>
      </c>
      <c r="B102" t="s">
        <v>10</v>
      </c>
      <c r="C102" s="2" t="s">
        <v>50</v>
      </c>
      <c r="D102" t="s">
        <v>115</v>
      </c>
    </row>
    <row r="103" spans="1:4" x14ac:dyDescent="0.25">
      <c r="A103">
        <v>88</v>
      </c>
      <c r="B103" t="s">
        <v>41</v>
      </c>
      <c r="C103" s="2" t="s">
        <v>54</v>
      </c>
      <c r="D103" t="s">
        <v>115</v>
      </c>
    </row>
    <row r="104" spans="1:4" x14ac:dyDescent="0.25">
      <c r="A104">
        <v>88</v>
      </c>
      <c r="B104" t="s">
        <v>41</v>
      </c>
      <c r="C104" s="2" t="s">
        <v>55</v>
      </c>
      <c r="D104" t="s">
        <v>115</v>
      </c>
    </row>
    <row r="105" spans="1:4" x14ac:dyDescent="0.25">
      <c r="A105">
        <v>373</v>
      </c>
      <c r="B105" t="s">
        <v>128</v>
      </c>
      <c r="C105" s="2" t="s">
        <v>47</v>
      </c>
      <c r="D105" t="s">
        <v>114</v>
      </c>
    </row>
    <row r="106" spans="1:4" x14ac:dyDescent="0.25">
      <c r="A106">
        <v>373</v>
      </c>
      <c r="B106" t="s">
        <v>63</v>
      </c>
      <c r="C106" s="2" t="s">
        <v>188</v>
      </c>
      <c r="D106" t="s">
        <v>114</v>
      </c>
    </row>
    <row r="107" spans="1:4" x14ac:dyDescent="0.25">
      <c r="A107">
        <v>373</v>
      </c>
      <c r="B107" t="s">
        <v>63</v>
      </c>
      <c r="C107" s="2" t="s">
        <v>51</v>
      </c>
      <c r="D107" t="s">
        <v>114</v>
      </c>
    </row>
    <row r="108" spans="1:4" x14ac:dyDescent="0.25">
      <c r="A108">
        <v>373</v>
      </c>
      <c r="B108" t="s">
        <v>63</v>
      </c>
      <c r="C108" s="2" t="s">
        <v>137</v>
      </c>
      <c r="D108" t="s">
        <v>114</v>
      </c>
    </row>
    <row r="109" spans="1:4" x14ac:dyDescent="0.25">
      <c r="A109">
        <v>373</v>
      </c>
      <c r="B109" t="s">
        <v>63</v>
      </c>
      <c r="C109" s="2" t="s">
        <v>138</v>
      </c>
      <c r="D109" t="s">
        <v>114</v>
      </c>
    </row>
    <row r="110" spans="1:4" x14ac:dyDescent="0.25">
      <c r="A110">
        <v>312</v>
      </c>
      <c r="B110" t="s">
        <v>234</v>
      </c>
      <c r="C110" s="2" t="s">
        <v>189</v>
      </c>
      <c r="D110" t="s">
        <v>114</v>
      </c>
    </row>
    <row r="111" spans="1:4" x14ac:dyDescent="0.25">
      <c r="A111">
        <v>312</v>
      </c>
      <c r="B111" t="s">
        <v>234</v>
      </c>
      <c r="C111" s="2" t="s">
        <v>218</v>
      </c>
      <c r="D111" t="s">
        <v>114</v>
      </c>
    </row>
    <row r="112" spans="1:4" x14ac:dyDescent="0.25">
      <c r="A112">
        <v>312</v>
      </c>
      <c r="B112" t="s">
        <v>41</v>
      </c>
      <c r="C112" s="2" t="s">
        <v>137</v>
      </c>
      <c r="D112" t="s">
        <v>115</v>
      </c>
    </row>
    <row r="113" spans="1:4" x14ac:dyDescent="0.25">
      <c r="A113">
        <v>312</v>
      </c>
      <c r="B113" t="s">
        <v>41</v>
      </c>
      <c r="C113" s="2" t="s">
        <v>138</v>
      </c>
      <c r="D113" t="s">
        <v>114</v>
      </c>
    </row>
    <row r="114" spans="1:4" x14ac:dyDescent="0.25">
      <c r="A114">
        <v>312</v>
      </c>
      <c r="B114" t="s">
        <v>41</v>
      </c>
      <c r="C114" s="2" t="s">
        <v>133</v>
      </c>
      <c r="D114" t="s">
        <v>114</v>
      </c>
    </row>
    <row r="115" spans="1:4" x14ac:dyDescent="0.25">
      <c r="A115">
        <v>89</v>
      </c>
      <c r="B115" t="s">
        <v>65</v>
      </c>
      <c r="C115" s="2" t="s">
        <v>189</v>
      </c>
      <c r="D115" t="s">
        <v>114</v>
      </c>
    </row>
    <row r="116" spans="1:4" x14ac:dyDescent="0.25">
      <c r="A116">
        <v>89</v>
      </c>
      <c r="B116" t="s">
        <v>65</v>
      </c>
      <c r="C116" s="2" t="s">
        <v>51</v>
      </c>
      <c r="D116" t="s">
        <v>114</v>
      </c>
    </row>
    <row r="117" spans="1:4" x14ac:dyDescent="0.25">
      <c r="A117">
        <v>89</v>
      </c>
      <c r="B117" t="s">
        <v>65</v>
      </c>
      <c r="C117" s="2" t="s">
        <v>54</v>
      </c>
      <c r="D117" t="s">
        <v>114</v>
      </c>
    </row>
    <row r="118" spans="1:4" x14ac:dyDescent="0.25">
      <c r="A118">
        <v>89</v>
      </c>
      <c r="B118" t="s">
        <v>65</v>
      </c>
      <c r="C118" s="2" t="s">
        <v>55</v>
      </c>
      <c r="D118" t="s">
        <v>114</v>
      </c>
    </row>
    <row r="119" spans="1:4" x14ac:dyDescent="0.25">
      <c r="A119">
        <v>453</v>
      </c>
      <c r="B119" t="s">
        <v>141</v>
      </c>
      <c r="C119" s="2" t="s">
        <v>124</v>
      </c>
      <c r="D119" t="s">
        <v>114</v>
      </c>
    </row>
    <row r="120" spans="1:4" x14ac:dyDescent="0.25">
      <c r="A120">
        <v>453</v>
      </c>
      <c r="B120" t="s">
        <v>141</v>
      </c>
      <c r="C120" s="2" t="s">
        <v>46</v>
      </c>
      <c r="D120" t="s">
        <v>114</v>
      </c>
    </row>
    <row r="121" spans="1:4" x14ac:dyDescent="0.25">
      <c r="A121">
        <v>453</v>
      </c>
      <c r="B121" t="s">
        <v>128</v>
      </c>
      <c r="C121" s="2" t="s">
        <v>132</v>
      </c>
      <c r="D121" t="s">
        <v>115</v>
      </c>
    </row>
    <row r="122" spans="1:4" x14ac:dyDescent="0.25">
      <c r="A122">
        <v>453</v>
      </c>
      <c r="B122" t="s">
        <v>18</v>
      </c>
      <c r="C122" s="2" t="s">
        <v>54</v>
      </c>
      <c r="D122" t="s">
        <v>114</v>
      </c>
    </row>
    <row r="123" spans="1:4" x14ac:dyDescent="0.25">
      <c r="A123">
        <v>453</v>
      </c>
      <c r="B123" t="s">
        <v>18</v>
      </c>
      <c r="C123" s="2" t="s">
        <v>55</v>
      </c>
      <c r="D123" t="s">
        <v>114</v>
      </c>
    </row>
    <row r="124" spans="1:4" x14ac:dyDescent="0.25">
      <c r="A124">
        <v>90</v>
      </c>
      <c r="B124" t="s">
        <v>22</v>
      </c>
      <c r="C124" s="2" t="s">
        <v>187</v>
      </c>
      <c r="D124" t="s">
        <v>114</v>
      </c>
    </row>
    <row r="125" spans="1:4" x14ac:dyDescent="0.25">
      <c r="A125">
        <v>90</v>
      </c>
      <c r="B125" t="s">
        <v>22</v>
      </c>
      <c r="C125" s="2" t="s">
        <v>124</v>
      </c>
      <c r="D125" t="s">
        <v>114</v>
      </c>
    </row>
    <row r="126" spans="1:4" x14ac:dyDescent="0.25">
      <c r="A126">
        <v>90</v>
      </c>
      <c r="B126" t="s">
        <v>141</v>
      </c>
      <c r="C126" s="2" t="s">
        <v>47</v>
      </c>
      <c r="D126" t="s">
        <v>114</v>
      </c>
    </row>
    <row r="127" spans="1:4" x14ac:dyDescent="0.25">
      <c r="A127">
        <v>90</v>
      </c>
      <c r="B127" t="s">
        <v>41</v>
      </c>
      <c r="C127" s="2" t="s">
        <v>188</v>
      </c>
      <c r="D127" t="s">
        <v>115</v>
      </c>
    </row>
    <row r="128" spans="1:4" x14ac:dyDescent="0.25">
      <c r="A128">
        <v>90</v>
      </c>
      <c r="B128" t="s">
        <v>41</v>
      </c>
      <c r="C128" s="2" t="s">
        <v>189</v>
      </c>
      <c r="D128" t="s">
        <v>115</v>
      </c>
    </row>
    <row r="129" spans="1:4" x14ac:dyDescent="0.25">
      <c r="A129">
        <v>454</v>
      </c>
      <c r="B129" t="s">
        <v>128</v>
      </c>
      <c r="C129" s="2" t="s">
        <v>218</v>
      </c>
      <c r="D129" t="s">
        <v>114</v>
      </c>
    </row>
    <row r="130" spans="1:4" x14ac:dyDescent="0.25">
      <c r="A130">
        <v>454</v>
      </c>
      <c r="B130" t="s">
        <v>128</v>
      </c>
      <c r="C130" s="2" t="s">
        <v>51</v>
      </c>
      <c r="D130" t="s">
        <v>115</v>
      </c>
    </row>
    <row r="131" spans="1:4" x14ac:dyDescent="0.25">
      <c r="A131">
        <v>454</v>
      </c>
      <c r="B131" t="s">
        <v>128</v>
      </c>
      <c r="C131" s="2" t="s">
        <v>125</v>
      </c>
      <c r="D131" t="s">
        <v>115</v>
      </c>
    </row>
    <row r="132" spans="1:4" x14ac:dyDescent="0.25">
      <c r="A132">
        <v>454</v>
      </c>
      <c r="B132" t="s">
        <v>221</v>
      </c>
      <c r="C132" s="2" t="s">
        <v>55</v>
      </c>
      <c r="D132" t="s">
        <v>114</v>
      </c>
    </row>
    <row r="133" spans="1:4" x14ac:dyDescent="0.25">
      <c r="A133">
        <v>454</v>
      </c>
      <c r="B133" t="s">
        <v>41</v>
      </c>
      <c r="C133" s="2" t="s">
        <v>138</v>
      </c>
      <c r="D133" t="s">
        <v>115</v>
      </c>
    </row>
    <row r="134" spans="1:4" x14ac:dyDescent="0.25">
      <c r="A134">
        <v>280</v>
      </c>
      <c r="B134" t="s">
        <v>63</v>
      </c>
      <c r="C134" s="2" t="s">
        <v>189</v>
      </c>
      <c r="D134" t="s">
        <v>114</v>
      </c>
    </row>
    <row r="135" spans="1:4" x14ac:dyDescent="0.25">
      <c r="A135">
        <v>280</v>
      </c>
      <c r="B135" t="s">
        <v>63</v>
      </c>
      <c r="C135" s="2" t="s">
        <v>133</v>
      </c>
      <c r="D135" t="s">
        <v>114</v>
      </c>
    </row>
    <row r="136" spans="1:4" x14ac:dyDescent="0.25">
      <c r="A136">
        <v>431</v>
      </c>
      <c r="B136" t="s">
        <v>25</v>
      </c>
      <c r="C136" s="2" t="s">
        <v>187</v>
      </c>
      <c r="D136" t="s">
        <v>115</v>
      </c>
    </row>
    <row r="137" spans="1:4" x14ac:dyDescent="0.25">
      <c r="A137">
        <v>431</v>
      </c>
      <c r="B137" t="s">
        <v>30</v>
      </c>
      <c r="C137" s="2" t="s">
        <v>46</v>
      </c>
      <c r="D137" t="s">
        <v>114</v>
      </c>
    </row>
    <row r="138" spans="1:4" x14ac:dyDescent="0.25">
      <c r="A138">
        <v>431</v>
      </c>
      <c r="B138" t="s">
        <v>30</v>
      </c>
      <c r="C138" s="2" t="s">
        <v>47</v>
      </c>
      <c r="D138" t="s">
        <v>114</v>
      </c>
    </row>
    <row r="139" spans="1:4" x14ac:dyDescent="0.25">
      <c r="A139">
        <v>431</v>
      </c>
      <c r="B139" t="s">
        <v>24</v>
      </c>
      <c r="C139" s="2" t="s">
        <v>189</v>
      </c>
      <c r="D139" t="s">
        <v>115</v>
      </c>
    </row>
    <row r="140" spans="1:4" x14ac:dyDescent="0.25">
      <c r="A140">
        <v>431</v>
      </c>
      <c r="B140" t="s">
        <v>24</v>
      </c>
      <c r="C140" s="2" t="s">
        <v>218</v>
      </c>
      <c r="D140" t="s">
        <v>115</v>
      </c>
    </row>
    <row r="141" spans="1:4" x14ac:dyDescent="0.25">
      <c r="A141">
        <v>552</v>
      </c>
      <c r="B141" t="s">
        <v>25</v>
      </c>
      <c r="C141" s="2" t="s">
        <v>124</v>
      </c>
      <c r="D141" t="s">
        <v>115</v>
      </c>
    </row>
    <row r="142" spans="1:4" x14ac:dyDescent="0.25">
      <c r="A142">
        <v>552</v>
      </c>
      <c r="B142" t="s">
        <v>198</v>
      </c>
      <c r="C142" s="2" t="s">
        <v>46</v>
      </c>
      <c r="D142" t="s">
        <v>114</v>
      </c>
    </row>
    <row r="143" spans="1:4" x14ac:dyDescent="0.25">
      <c r="A143">
        <v>552</v>
      </c>
      <c r="B143" t="s">
        <v>198</v>
      </c>
      <c r="C143" s="2" t="s">
        <v>47</v>
      </c>
      <c r="D143" t="s">
        <v>114</v>
      </c>
    </row>
    <row r="144" spans="1:4" x14ac:dyDescent="0.25">
      <c r="A144">
        <v>552</v>
      </c>
      <c r="B144" t="s">
        <v>40</v>
      </c>
      <c r="C144" s="2" t="s">
        <v>55</v>
      </c>
      <c r="D144" t="s">
        <v>114</v>
      </c>
    </row>
    <row r="145" spans="1:4" x14ac:dyDescent="0.25">
      <c r="A145">
        <v>552</v>
      </c>
      <c r="B145" t="s">
        <v>40</v>
      </c>
      <c r="C145" s="2" t="s">
        <v>138</v>
      </c>
      <c r="D145" t="s">
        <v>114</v>
      </c>
    </row>
    <row r="146" spans="1:4" x14ac:dyDescent="0.25">
      <c r="A146">
        <v>95</v>
      </c>
      <c r="B146" t="s">
        <v>30</v>
      </c>
      <c r="C146" s="2" t="s">
        <v>187</v>
      </c>
      <c r="D146" t="s">
        <v>114</v>
      </c>
    </row>
    <row r="147" spans="1:4" x14ac:dyDescent="0.25">
      <c r="A147">
        <v>95</v>
      </c>
      <c r="B147" t="s">
        <v>25</v>
      </c>
      <c r="C147" s="2" t="s">
        <v>46</v>
      </c>
      <c r="D147" t="s">
        <v>115</v>
      </c>
    </row>
    <row r="148" spans="1:4" x14ac:dyDescent="0.25">
      <c r="A148">
        <v>95</v>
      </c>
      <c r="B148" t="s">
        <v>24</v>
      </c>
      <c r="C148" s="2" t="s">
        <v>50</v>
      </c>
      <c r="D148" t="s">
        <v>114</v>
      </c>
    </row>
    <row r="149" spans="1:4" x14ac:dyDescent="0.25">
      <c r="A149">
        <v>95</v>
      </c>
      <c r="B149" t="s">
        <v>24</v>
      </c>
      <c r="C149" s="2" t="s">
        <v>51</v>
      </c>
      <c r="D149" t="s">
        <v>114</v>
      </c>
    </row>
    <row r="150" spans="1:4" x14ac:dyDescent="0.25">
      <c r="A150">
        <v>95</v>
      </c>
      <c r="B150" t="s">
        <v>24</v>
      </c>
      <c r="C150" s="2" t="s">
        <v>137</v>
      </c>
      <c r="D150" t="s">
        <v>114</v>
      </c>
    </row>
    <row r="151" spans="1:4" x14ac:dyDescent="0.25">
      <c r="A151">
        <v>458</v>
      </c>
      <c r="B151" t="s">
        <v>7</v>
      </c>
      <c r="C151" s="2" t="s">
        <v>137</v>
      </c>
      <c r="D151" t="s">
        <v>114</v>
      </c>
    </row>
    <row r="152" spans="1:4" x14ac:dyDescent="0.25">
      <c r="A152">
        <v>458</v>
      </c>
      <c r="B152" t="s">
        <v>7</v>
      </c>
      <c r="C152" s="2" t="s">
        <v>132</v>
      </c>
      <c r="D152" t="s">
        <v>114</v>
      </c>
    </row>
    <row r="153" spans="1:4" x14ac:dyDescent="0.25">
      <c r="A153">
        <v>458</v>
      </c>
      <c r="B153" t="s">
        <v>128</v>
      </c>
      <c r="C153" s="2" t="s">
        <v>138</v>
      </c>
      <c r="D153" t="s">
        <v>115</v>
      </c>
    </row>
    <row r="154" spans="1:4" x14ac:dyDescent="0.25">
      <c r="A154">
        <v>458</v>
      </c>
      <c r="B154" t="s">
        <v>128</v>
      </c>
      <c r="C154" s="2" t="s">
        <v>133</v>
      </c>
      <c r="D154" t="s">
        <v>115</v>
      </c>
    </row>
    <row r="155" spans="1:4" x14ac:dyDescent="0.25">
      <c r="A155">
        <v>555</v>
      </c>
      <c r="B155" t="s">
        <v>128</v>
      </c>
      <c r="C155" s="2" t="s">
        <v>187</v>
      </c>
      <c r="D155" t="s">
        <v>116</v>
      </c>
    </row>
    <row r="156" spans="1:4" x14ac:dyDescent="0.25">
      <c r="A156">
        <v>555</v>
      </c>
      <c r="B156" t="s">
        <v>128</v>
      </c>
      <c r="C156" s="2" t="s">
        <v>124</v>
      </c>
      <c r="D156" t="s">
        <v>116</v>
      </c>
    </row>
    <row r="157" spans="1:4" x14ac:dyDescent="0.25">
      <c r="A157">
        <v>555</v>
      </c>
      <c r="B157" t="s">
        <v>192</v>
      </c>
      <c r="C157" s="2" t="s">
        <v>189</v>
      </c>
      <c r="D157" t="s">
        <v>114</v>
      </c>
    </row>
    <row r="158" spans="1:4" x14ac:dyDescent="0.25">
      <c r="A158">
        <v>555</v>
      </c>
      <c r="B158" t="s">
        <v>192</v>
      </c>
      <c r="C158" s="2" t="s">
        <v>218</v>
      </c>
      <c r="D158" t="s">
        <v>114</v>
      </c>
    </row>
    <row r="159" spans="1:4" x14ac:dyDescent="0.25">
      <c r="A159">
        <v>556</v>
      </c>
      <c r="B159" t="s">
        <v>128</v>
      </c>
      <c r="C159" s="2" t="s">
        <v>46</v>
      </c>
      <c r="D159" t="s">
        <v>116</v>
      </c>
    </row>
    <row r="160" spans="1:4" x14ac:dyDescent="0.25">
      <c r="A160">
        <v>556</v>
      </c>
      <c r="B160" t="s">
        <v>128</v>
      </c>
      <c r="C160" s="2" t="s">
        <v>47</v>
      </c>
      <c r="D160" t="s">
        <v>116</v>
      </c>
    </row>
    <row r="161" spans="1:4" x14ac:dyDescent="0.25">
      <c r="A161">
        <v>556</v>
      </c>
      <c r="B161" t="s">
        <v>7</v>
      </c>
      <c r="C161" s="2" t="s">
        <v>132</v>
      </c>
      <c r="D161" t="s">
        <v>115</v>
      </c>
    </row>
    <row r="162" spans="1:4" x14ac:dyDescent="0.25">
      <c r="A162">
        <v>556</v>
      </c>
      <c r="B162" t="s">
        <v>194</v>
      </c>
      <c r="C162" s="2" t="s">
        <v>55</v>
      </c>
      <c r="D162" t="s">
        <v>114</v>
      </c>
    </row>
    <row r="163" spans="1:4" x14ac:dyDescent="0.25">
      <c r="A163">
        <v>183</v>
      </c>
      <c r="B163" t="s">
        <v>223</v>
      </c>
      <c r="C163" s="2" t="s">
        <v>187</v>
      </c>
      <c r="D163" t="s">
        <v>114</v>
      </c>
    </row>
    <row r="164" spans="1:4" x14ac:dyDescent="0.25">
      <c r="A164">
        <v>183</v>
      </c>
      <c r="B164" t="s">
        <v>223</v>
      </c>
      <c r="C164" s="2" t="s">
        <v>124</v>
      </c>
      <c r="D164" t="s">
        <v>114</v>
      </c>
    </row>
    <row r="165" spans="1:4" x14ac:dyDescent="0.25">
      <c r="A165">
        <v>183</v>
      </c>
      <c r="B165" t="s">
        <v>24</v>
      </c>
      <c r="C165" s="2" t="s">
        <v>189</v>
      </c>
      <c r="D165" t="s">
        <v>114</v>
      </c>
    </row>
    <row r="166" spans="1:4" x14ac:dyDescent="0.25">
      <c r="A166">
        <v>183</v>
      </c>
      <c r="B166" t="s">
        <v>24</v>
      </c>
      <c r="C166" s="2" t="s">
        <v>218</v>
      </c>
      <c r="D166" t="s">
        <v>114</v>
      </c>
    </row>
    <row r="167" spans="1:4" x14ac:dyDescent="0.25">
      <c r="A167">
        <v>101</v>
      </c>
      <c r="B167" t="s">
        <v>198</v>
      </c>
      <c r="C167" s="2" t="s">
        <v>46</v>
      </c>
      <c r="D167" t="s">
        <v>115</v>
      </c>
    </row>
    <row r="168" spans="1:4" x14ac:dyDescent="0.25">
      <c r="A168">
        <v>101</v>
      </c>
      <c r="B168" t="s">
        <v>198</v>
      </c>
      <c r="C168" s="2" t="s">
        <v>47</v>
      </c>
      <c r="D168" t="s">
        <v>115</v>
      </c>
    </row>
    <row r="169" spans="1:4" x14ac:dyDescent="0.25">
      <c r="A169">
        <v>101</v>
      </c>
      <c r="B169" t="s">
        <v>192</v>
      </c>
      <c r="C169" s="2" t="s">
        <v>189</v>
      </c>
      <c r="D169" t="s">
        <v>115</v>
      </c>
    </row>
    <row r="170" spans="1:4" x14ac:dyDescent="0.25">
      <c r="A170">
        <v>101</v>
      </c>
      <c r="B170" t="s">
        <v>192</v>
      </c>
      <c r="C170" s="2" t="s">
        <v>218</v>
      </c>
      <c r="D170" t="s">
        <v>115</v>
      </c>
    </row>
    <row r="171" spans="1:4" x14ac:dyDescent="0.25">
      <c r="A171">
        <v>101</v>
      </c>
      <c r="B171" t="s">
        <v>7</v>
      </c>
      <c r="C171" s="2" t="s">
        <v>51</v>
      </c>
      <c r="D171" t="s">
        <v>114</v>
      </c>
    </row>
    <row r="172" spans="1:4" x14ac:dyDescent="0.25">
      <c r="A172">
        <v>101</v>
      </c>
      <c r="B172" t="s">
        <v>34</v>
      </c>
      <c r="C172" s="2" t="s">
        <v>132</v>
      </c>
      <c r="D172" t="s">
        <v>114</v>
      </c>
    </row>
    <row r="173" spans="1:4" x14ac:dyDescent="0.25">
      <c r="A173">
        <v>101</v>
      </c>
      <c r="B173" t="s">
        <v>7</v>
      </c>
      <c r="C173" s="2" t="s">
        <v>125</v>
      </c>
      <c r="D173" t="s">
        <v>114</v>
      </c>
    </row>
    <row r="174" spans="1:4" x14ac:dyDescent="0.25">
      <c r="A174">
        <v>101</v>
      </c>
      <c r="B174" t="s">
        <v>7</v>
      </c>
      <c r="C174" s="2" t="s">
        <v>54</v>
      </c>
      <c r="D174" t="s">
        <v>114</v>
      </c>
    </row>
    <row r="175" spans="1:4" x14ac:dyDescent="0.25">
      <c r="A175">
        <v>315</v>
      </c>
      <c r="B175" t="s">
        <v>198</v>
      </c>
      <c r="C175" s="2" t="s">
        <v>188</v>
      </c>
      <c r="D175" t="s">
        <v>115</v>
      </c>
    </row>
    <row r="176" spans="1:4" x14ac:dyDescent="0.25">
      <c r="A176">
        <v>315</v>
      </c>
      <c r="B176" t="s">
        <v>198</v>
      </c>
      <c r="C176" s="2" t="s">
        <v>189</v>
      </c>
      <c r="D176" t="s">
        <v>115</v>
      </c>
    </row>
    <row r="177" spans="1:4" x14ac:dyDescent="0.25">
      <c r="A177">
        <v>315</v>
      </c>
      <c r="B177" t="s">
        <v>192</v>
      </c>
      <c r="C177" s="2" t="s">
        <v>50</v>
      </c>
      <c r="D177" t="s">
        <v>114</v>
      </c>
    </row>
    <row r="178" spans="1:4" x14ac:dyDescent="0.25">
      <c r="A178">
        <v>315</v>
      </c>
      <c r="B178" t="s">
        <v>192</v>
      </c>
      <c r="C178" s="2" t="s">
        <v>51</v>
      </c>
      <c r="D178" t="s">
        <v>114</v>
      </c>
    </row>
    <row r="179" spans="1:4" x14ac:dyDescent="0.25">
      <c r="A179">
        <v>496</v>
      </c>
      <c r="B179" t="s">
        <v>42</v>
      </c>
      <c r="C179" s="2" t="s">
        <v>187</v>
      </c>
      <c r="D179" t="s">
        <v>114</v>
      </c>
    </row>
    <row r="180" spans="1:4" x14ac:dyDescent="0.25">
      <c r="A180">
        <v>496</v>
      </c>
      <c r="B180" t="s">
        <v>42</v>
      </c>
      <c r="C180" s="2" t="s">
        <v>124</v>
      </c>
      <c r="D180" t="s">
        <v>114</v>
      </c>
    </row>
    <row r="181" spans="1:4" x14ac:dyDescent="0.25">
      <c r="A181">
        <v>496</v>
      </c>
      <c r="B181" t="s">
        <v>192</v>
      </c>
      <c r="C181" s="2" t="s">
        <v>50</v>
      </c>
      <c r="D181" t="s">
        <v>115</v>
      </c>
    </row>
    <row r="182" spans="1:4" x14ac:dyDescent="0.25">
      <c r="A182">
        <v>496</v>
      </c>
      <c r="B182" t="s">
        <v>192</v>
      </c>
      <c r="C182" s="2" t="s">
        <v>51</v>
      </c>
      <c r="D182" t="s">
        <v>115</v>
      </c>
    </row>
    <row r="183" spans="1:4" x14ac:dyDescent="0.25">
      <c r="A183">
        <v>415</v>
      </c>
      <c r="B183" t="s">
        <v>237</v>
      </c>
      <c r="C183" s="2" t="s">
        <v>187</v>
      </c>
      <c r="D183" t="s">
        <v>115</v>
      </c>
    </row>
    <row r="184" spans="1:4" x14ac:dyDescent="0.25">
      <c r="A184">
        <v>415</v>
      </c>
      <c r="B184" t="s">
        <v>237</v>
      </c>
      <c r="C184" s="2" t="s">
        <v>124</v>
      </c>
      <c r="D184" t="s">
        <v>115</v>
      </c>
    </row>
    <row r="185" spans="1:4" x14ac:dyDescent="0.25">
      <c r="A185">
        <v>415</v>
      </c>
      <c r="B185" t="s">
        <v>128</v>
      </c>
      <c r="C185" s="2" t="s">
        <v>189</v>
      </c>
      <c r="D185" t="s">
        <v>114</v>
      </c>
    </row>
    <row r="186" spans="1:4" x14ac:dyDescent="0.25">
      <c r="A186">
        <v>415</v>
      </c>
      <c r="B186" t="s">
        <v>14</v>
      </c>
      <c r="C186" s="2" t="s">
        <v>54</v>
      </c>
      <c r="D186" t="s">
        <v>114</v>
      </c>
    </row>
    <row r="187" spans="1:4" x14ac:dyDescent="0.25">
      <c r="A187">
        <v>415</v>
      </c>
      <c r="B187" t="s">
        <v>14</v>
      </c>
      <c r="C187" s="2" t="s">
        <v>133</v>
      </c>
      <c r="D187" t="s">
        <v>114</v>
      </c>
    </row>
    <row r="188" spans="1:4" x14ac:dyDescent="0.25">
      <c r="A188">
        <v>102</v>
      </c>
      <c r="B188" t="s">
        <v>192</v>
      </c>
      <c r="C188" s="2" t="s">
        <v>137</v>
      </c>
      <c r="D188" t="s">
        <v>115</v>
      </c>
    </row>
    <row r="189" spans="1:4" x14ac:dyDescent="0.25">
      <c r="A189">
        <v>102</v>
      </c>
      <c r="B189" t="s">
        <v>192</v>
      </c>
      <c r="C189" s="2" t="s">
        <v>132</v>
      </c>
      <c r="D189" t="s">
        <v>115</v>
      </c>
    </row>
    <row r="190" spans="1:4" x14ac:dyDescent="0.25">
      <c r="A190">
        <v>102</v>
      </c>
      <c r="B190" t="s">
        <v>7</v>
      </c>
      <c r="C190" s="2" t="s">
        <v>54</v>
      </c>
      <c r="D190" t="s">
        <v>115</v>
      </c>
    </row>
    <row r="191" spans="1:4" x14ac:dyDescent="0.25">
      <c r="A191">
        <v>102</v>
      </c>
      <c r="B191" t="s">
        <v>194</v>
      </c>
      <c r="C191" s="2" t="s">
        <v>138</v>
      </c>
      <c r="D191" t="s">
        <v>114</v>
      </c>
    </row>
    <row r="192" spans="1:4" x14ac:dyDescent="0.25">
      <c r="A192">
        <v>105</v>
      </c>
      <c r="B192" t="s">
        <v>237</v>
      </c>
      <c r="C192" s="2" t="s">
        <v>47</v>
      </c>
      <c r="D192" t="s">
        <v>115</v>
      </c>
    </row>
    <row r="193" spans="1:4" x14ac:dyDescent="0.25">
      <c r="A193">
        <v>105</v>
      </c>
      <c r="B193" t="s">
        <v>237</v>
      </c>
      <c r="C193" s="2" t="s">
        <v>188</v>
      </c>
      <c r="D193" t="s">
        <v>114</v>
      </c>
    </row>
    <row r="194" spans="1:4" x14ac:dyDescent="0.25">
      <c r="A194">
        <v>105</v>
      </c>
      <c r="B194" t="s">
        <v>198</v>
      </c>
      <c r="C194" s="2" t="s">
        <v>218</v>
      </c>
      <c r="D194" t="s">
        <v>114</v>
      </c>
    </row>
    <row r="195" spans="1:4" x14ac:dyDescent="0.25">
      <c r="A195">
        <v>105</v>
      </c>
      <c r="B195" t="s">
        <v>192</v>
      </c>
      <c r="C195" s="2" t="s">
        <v>125</v>
      </c>
      <c r="D195" t="s">
        <v>114</v>
      </c>
    </row>
    <row r="196" spans="1:4" x14ac:dyDescent="0.25">
      <c r="A196">
        <v>105</v>
      </c>
      <c r="B196" t="s">
        <v>192</v>
      </c>
      <c r="C196" s="2" t="s">
        <v>54</v>
      </c>
      <c r="D196" t="s">
        <v>114</v>
      </c>
    </row>
    <row r="197" spans="1:4" x14ac:dyDescent="0.25">
      <c r="A197">
        <v>106</v>
      </c>
      <c r="B197" t="s">
        <v>192</v>
      </c>
      <c r="C197" s="2" t="s">
        <v>125</v>
      </c>
      <c r="D197" t="s">
        <v>115</v>
      </c>
    </row>
    <row r="198" spans="1:4" x14ac:dyDescent="0.25">
      <c r="A198">
        <v>106</v>
      </c>
      <c r="B198" t="s">
        <v>192</v>
      </c>
      <c r="C198" s="2" t="s">
        <v>54</v>
      </c>
      <c r="D198" t="s">
        <v>115</v>
      </c>
    </row>
    <row r="199" spans="1:4" x14ac:dyDescent="0.25">
      <c r="A199">
        <v>106</v>
      </c>
      <c r="B199" t="s">
        <v>221</v>
      </c>
      <c r="C199" s="2" t="s">
        <v>138</v>
      </c>
      <c r="D199" t="s">
        <v>114</v>
      </c>
    </row>
    <row r="200" spans="1:4" x14ac:dyDescent="0.25">
      <c r="A200">
        <v>106</v>
      </c>
      <c r="B200" t="s">
        <v>221</v>
      </c>
      <c r="C200" s="2" t="s">
        <v>133</v>
      </c>
      <c r="D200" t="s">
        <v>114</v>
      </c>
    </row>
    <row r="201" spans="1:4" x14ac:dyDescent="0.25">
      <c r="A201">
        <v>564</v>
      </c>
      <c r="B201" t="s">
        <v>223</v>
      </c>
      <c r="C201" s="2" t="s">
        <v>187</v>
      </c>
      <c r="D201" t="s">
        <v>115</v>
      </c>
    </row>
    <row r="202" spans="1:4" x14ac:dyDescent="0.25">
      <c r="A202">
        <v>564</v>
      </c>
      <c r="B202" t="s">
        <v>223</v>
      </c>
      <c r="C202" s="2" t="s">
        <v>124</v>
      </c>
      <c r="D202" t="s">
        <v>115</v>
      </c>
    </row>
    <row r="203" spans="1:4" x14ac:dyDescent="0.25">
      <c r="A203">
        <v>564</v>
      </c>
      <c r="B203" t="s">
        <v>223</v>
      </c>
      <c r="C203" s="2" t="s">
        <v>46</v>
      </c>
      <c r="D203" t="s">
        <v>115</v>
      </c>
    </row>
    <row r="204" spans="1:4" x14ac:dyDescent="0.25">
      <c r="A204">
        <v>110</v>
      </c>
      <c r="B204" t="s">
        <v>198</v>
      </c>
      <c r="C204" s="2" t="s">
        <v>218</v>
      </c>
      <c r="D204" t="s">
        <v>115</v>
      </c>
    </row>
    <row r="205" spans="1:4" x14ac:dyDescent="0.25">
      <c r="A205">
        <v>110</v>
      </c>
      <c r="B205" t="s">
        <v>128</v>
      </c>
      <c r="C205" s="2" t="s">
        <v>51</v>
      </c>
      <c r="D205" t="s">
        <v>114</v>
      </c>
    </row>
    <row r="206" spans="1:4" x14ac:dyDescent="0.25">
      <c r="A206">
        <v>110</v>
      </c>
      <c r="B206" t="s">
        <v>128</v>
      </c>
      <c r="C206" s="2" t="s">
        <v>137</v>
      </c>
      <c r="D206" t="s">
        <v>114</v>
      </c>
    </row>
    <row r="207" spans="1:4" x14ac:dyDescent="0.25">
      <c r="A207">
        <v>110</v>
      </c>
      <c r="B207" t="s">
        <v>221</v>
      </c>
      <c r="C207" s="2" t="s">
        <v>55</v>
      </c>
      <c r="D207" t="s">
        <v>115</v>
      </c>
    </row>
    <row r="208" spans="1:4" x14ac:dyDescent="0.25">
      <c r="A208">
        <v>331</v>
      </c>
      <c r="B208" t="s">
        <v>128</v>
      </c>
      <c r="C208" s="2" t="s">
        <v>46</v>
      </c>
      <c r="D208" t="s">
        <v>114</v>
      </c>
    </row>
    <row r="209" spans="1:4" x14ac:dyDescent="0.25">
      <c r="A209">
        <v>331</v>
      </c>
      <c r="B209" t="s">
        <v>198</v>
      </c>
      <c r="C209" s="2" t="s">
        <v>188</v>
      </c>
      <c r="D209" t="s">
        <v>114</v>
      </c>
    </row>
    <row r="210" spans="1:4" x14ac:dyDescent="0.25">
      <c r="A210">
        <v>331</v>
      </c>
      <c r="B210" t="s">
        <v>205</v>
      </c>
      <c r="C210" s="2" t="s">
        <v>132</v>
      </c>
      <c r="D210" t="s">
        <v>115</v>
      </c>
    </row>
    <row r="211" spans="1:4" x14ac:dyDescent="0.25">
      <c r="A211">
        <v>331</v>
      </c>
      <c r="B211" t="s">
        <v>205</v>
      </c>
      <c r="C211" s="2" t="s">
        <v>125</v>
      </c>
      <c r="D211" t="s">
        <v>115</v>
      </c>
    </row>
    <row r="212" spans="1:4" x14ac:dyDescent="0.25">
      <c r="A212">
        <v>331</v>
      </c>
      <c r="B212" t="s">
        <v>221</v>
      </c>
      <c r="C212" s="2" t="s">
        <v>138</v>
      </c>
      <c r="D212" t="s">
        <v>115</v>
      </c>
    </row>
    <row r="213" spans="1:4" x14ac:dyDescent="0.25">
      <c r="A213">
        <v>331</v>
      </c>
      <c r="B213" t="s">
        <v>221</v>
      </c>
      <c r="C213" s="2" t="s">
        <v>133</v>
      </c>
      <c r="D213" t="s">
        <v>115</v>
      </c>
    </row>
    <row r="214" spans="1:4" x14ac:dyDescent="0.25">
      <c r="A214">
        <v>234</v>
      </c>
      <c r="B214" t="s">
        <v>205</v>
      </c>
      <c r="C214" s="2" t="s">
        <v>132</v>
      </c>
      <c r="D214" t="s">
        <v>114</v>
      </c>
    </row>
    <row r="215" spans="1:4" x14ac:dyDescent="0.25">
      <c r="A215">
        <v>234</v>
      </c>
      <c r="B215" t="s">
        <v>205</v>
      </c>
      <c r="C215" s="2" t="s">
        <v>125</v>
      </c>
      <c r="D215" t="s">
        <v>114</v>
      </c>
    </row>
    <row r="216" spans="1:4" x14ac:dyDescent="0.25">
      <c r="A216">
        <v>234</v>
      </c>
      <c r="B216" t="s">
        <v>145</v>
      </c>
      <c r="C216" s="2" t="s">
        <v>138</v>
      </c>
      <c r="D216" t="s">
        <v>114</v>
      </c>
    </row>
    <row r="217" spans="1:4" x14ac:dyDescent="0.25">
      <c r="A217">
        <v>234</v>
      </c>
      <c r="B217" t="s">
        <v>145</v>
      </c>
      <c r="C217" s="2" t="s">
        <v>133</v>
      </c>
      <c r="D217" t="s">
        <v>114</v>
      </c>
    </row>
    <row r="218" spans="1:4" x14ac:dyDescent="0.25">
      <c r="A218">
        <v>503</v>
      </c>
      <c r="B218" t="s">
        <v>25</v>
      </c>
      <c r="C218" s="2" t="s">
        <v>46</v>
      </c>
      <c r="D218" t="s">
        <v>114</v>
      </c>
    </row>
    <row r="219" spans="1:4" x14ac:dyDescent="0.25">
      <c r="A219">
        <v>503</v>
      </c>
      <c r="B219" t="s">
        <v>24</v>
      </c>
      <c r="C219" s="2" t="s">
        <v>50</v>
      </c>
      <c r="D219" t="s">
        <v>115</v>
      </c>
    </row>
    <row r="220" spans="1:4" x14ac:dyDescent="0.25">
      <c r="A220">
        <v>503</v>
      </c>
      <c r="B220" t="s">
        <v>24</v>
      </c>
      <c r="C220" s="2" t="s">
        <v>51</v>
      </c>
      <c r="D220" t="s">
        <v>115</v>
      </c>
    </row>
    <row r="221" spans="1:4" x14ac:dyDescent="0.25">
      <c r="A221">
        <v>503</v>
      </c>
      <c r="B221" t="s">
        <v>7</v>
      </c>
      <c r="C221" s="2" t="s">
        <v>125</v>
      </c>
      <c r="D221" t="s">
        <v>115</v>
      </c>
    </row>
    <row r="222" spans="1:4" x14ac:dyDescent="0.25">
      <c r="A222">
        <v>398</v>
      </c>
      <c r="B222" t="s">
        <v>25</v>
      </c>
      <c r="C222" s="2" t="s">
        <v>187</v>
      </c>
      <c r="D222" t="s">
        <v>114</v>
      </c>
    </row>
    <row r="223" spans="1:4" x14ac:dyDescent="0.25">
      <c r="A223">
        <v>398</v>
      </c>
      <c r="B223" t="s">
        <v>25</v>
      </c>
      <c r="C223" s="2" t="s">
        <v>124</v>
      </c>
      <c r="D223" t="s">
        <v>114</v>
      </c>
    </row>
    <row r="224" spans="1:4" x14ac:dyDescent="0.25">
      <c r="A224">
        <v>398</v>
      </c>
      <c r="B224" t="s">
        <v>195</v>
      </c>
      <c r="C224" s="2" t="s">
        <v>50</v>
      </c>
      <c r="D224" t="s">
        <v>114</v>
      </c>
    </row>
    <row r="225" spans="1:4" x14ac:dyDescent="0.25">
      <c r="A225">
        <v>398</v>
      </c>
      <c r="B225" t="s">
        <v>195</v>
      </c>
      <c r="C225" s="2" t="s">
        <v>51</v>
      </c>
      <c r="D225" t="s">
        <v>114</v>
      </c>
    </row>
    <row r="226" spans="1:4" x14ac:dyDescent="0.25">
      <c r="A226">
        <v>398</v>
      </c>
      <c r="B226" t="s">
        <v>195</v>
      </c>
      <c r="C226" s="2" t="s">
        <v>137</v>
      </c>
      <c r="D226" t="s">
        <v>114</v>
      </c>
    </row>
    <row r="227" spans="1:4" x14ac:dyDescent="0.25">
      <c r="A227">
        <v>118</v>
      </c>
      <c r="B227" t="s">
        <v>18</v>
      </c>
      <c r="C227" s="2" t="s">
        <v>132</v>
      </c>
      <c r="D227" t="s">
        <v>114</v>
      </c>
    </row>
    <row r="228" spans="1:4" x14ac:dyDescent="0.25">
      <c r="A228">
        <v>118</v>
      </c>
      <c r="B228" t="s">
        <v>18</v>
      </c>
      <c r="C228" s="2" t="s">
        <v>125</v>
      </c>
      <c r="D228" t="s">
        <v>114</v>
      </c>
    </row>
    <row r="229" spans="1:4" x14ac:dyDescent="0.25">
      <c r="A229">
        <v>118</v>
      </c>
      <c r="B229" t="s">
        <v>205</v>
      </c>
      <c r="C229" s="2" t="s">
        <v>54</v>
      </c>
      <c r="D229" t="s">
        <v>115</v>
      </c>
    </row>
    <row r="230" spans="1:4" x14ac:dyDescent="0.25">
      <c r="A230">
        <v>118</v>
      </c>
      <c r="B230" t="s">
        <v>205</v>
      </c>
      <c r="C230" s="2" t="s">
        <v>55</v>
      </c>
      <c r="D230" t="s">
        <v>115</v>
      </c>
    </row>
    <row r="231" spans="1:4" x14ac:dyDescent="0.25">
      <c r="A231">
        <v>376</v>
      </c>
      <c r="B231" t="s">
        <v>269</v>
      </c>
      <c r="C231" s="2" t="s">
        <v>187</v>
      </c>
      <c r="D231" t="s">
        <v>114</v>
      </c>
    </row>
    <row r="232" spans="1:4" x14ac:dyDescent="0.25">
      <c r="A232">
        <v>376</v>
      </c>
      <c r="B232" t="s">
        <v>7</v>
      </c>
      <c r="C232" s="2" t="s">
        <v>137</v>
      </c>
      <c r="D232" t="s">
        <v>115</v>
      </c>
    </row>
    <row r="233" spans="1:4" x14ac:dyDescent="0.25">
      <c r="A233">
        <v>376</v>
      </c>
      <c r="B233" t="s">
        <v>63</v>
      </c>
      <c r="C233" s="2" t="s">
        <v>54</v>
      </c>
      <c r="D233" t="s">
        <v>114</v>
      </c>
    </row>
    <row r="234" spans="1:4" x14ac:dyDescent="0.25">
      <c r="A234">
        <v>376</v>
      </c>
      <c r="B234" t="s">
        <v>63</v>
      </c>
      <c r="C234" s="2" t="s">
        <v>55</v>
      </c>
      <c r="D234" t="s">
        <v>114</v>
      </c>
    </row>
    <row r="235" spans="1:4" x14ac:dyDescent="0.25">
      <c r="A235">
        <v>400</v>
      </c>
      <c r="B235" t="s">
        <v>41</v>
      </c>
      <c r="C235" s="2" t="s">
        <v>187</v>
      </c>
      <c r="D235" t="s">
        <v>115</v>
      </c>
    </row>
    <row r="236" spans="1:4" x14ac:dyDescent="0.25">
      <c r="A236">
        <v>400</v>
      </c>
      <c r="B236" t="s">
        <v>65</v>
      </c>
      <c r="C236" s="2" t="s">
        <v>188</v>
      </c>
      <c r="D236" t="s">
        <v>114</v>
      </c>
    </row>
    <row r="237" spans="1:4" x14ac:dyDescent="0.25">
      <c r="A237">
        <v>400</v>
      </c>
      <c r="B237" t="s">
        <v>10</v>
      </c>
      <c r="C237" s="2" t="s">
        <v>218</v>
      </c>
      <c r="D237" t="s">
        <v>115</v>
      </c>
    </row>
    <row r="238" spans="1:4" x14ac:dyDescent="0.25">
      <c r="A238">
        <v>400</v>
      </c>
      <c r="B238" t="s">
        <v>264</v>
      </c>
      <c r="C238" s="2" t="s">
        <v>51</v>
      </c>
      <c r="D238" t="s">
        <v>114</v>
      </c>
    </row>
    <row r="239" spans="1:4" x14ac:dyDescent="0.25">
      <c r="A239">
        <v>400</v>
      </c>
      <c r="B239" t="s">
        <v>40</v>
      </c>
      <c r="C239" s="2" t="s">
        <v>125</v>
      </c>
      <c r="D239" t="s">
        <v>114</v>
      </c>
    </row>
    <row r="240" spans="1:4" x14ac:dyDescent="0.25">
      <c r="A240">
        <v>400</v>
      </c>
      <c r="B240" t="s">
        <v>40</v>
      </c>
      <c r="C240" s="2" t="s">
        <v>54</v>
      </c>
      <c r="D240" t="s">
        <v>114</v>
      </c>
    </row>
    <row r="241" spans="1:4" x14ac:dyDescent="0.25">
      <c r="A241">
        <v>519</v>
      </c>
      <c r="B241" t="s">
        <v>208</v>
      </c>
      <c r="C241" s="2" t="s">
        <v>46</v>
      </c>
      <c r="D241" t="s">
        <v>114</v>
      </c>
    </row>
    <row r="242" spans="1:4" x14ac:dyDescent="0.25">
      <c r="A242">
        <v>519</v>
      </c>
      <c r="B242" t="s">
        <v>208</v>
      </c>
      <c r="C242" s="2" t="s">
        <v>47</v>
      </c>
      <c r="D242" t="s">
        <v>114</v>
      </c>
    </row>
    <row r="243" spans="1:4" x14ac:dyDescent="0.25">
      <c r="A243">
        <v>519</v>
      </c>
      <c r="B243" t="s">
        <v>205</v>
      </c>
      <c r="C243" s="2" t="s">
        <v>138</v>
      </c>
      <c r="D243" t="s">
        <v>114</v>
      </c>
    </row>
    <row r="244" spans="1:4" x14ac:dyDescent="0.25">
      <c r="A244">
        <v>519</v>
      </c>
      <c r="B244" t="s">
        <v>205</v>
      </c>
      <c r="C244" s="2" t="s">
        <v>133</v>
      </c>
      <c r="D244" t="s">
        <v>114</v>
      </c>
    </row>
    <row r="245" spans="1:4" x14ac:dyDescent="0.25">
      <c r="A245">
        <v>520</v>
      </c>
      <c r="B245" t="s">
        <v>208</v>
      </c>
      <c r="C245" s="2" t="s">
        <v>46</v>
      </c>
      <c r="D245" t="s">
        <v>115</v>
      </c>
    </row>
    <row r="246" spans="1:4" x14ac:dyDescent="0.25">
      <c r="A246">
        <v>520</v>
      </c>
      <c r="B246" t="s">
        <v>208</v>
      </c>
      <c r="C246" s="2" t="s">
        <v>47</v>
      </c>
      <c r="D246" t="s">
        <v>115</v>
      </c>
    </row>
    <row r="247" spans="1:4" x14ac:dyDescent="0.25">
      <c r="A247">
        <v>520</v>
      </c>
      <c r="B247" t="s">
        <v>205</v>
      </c>
      <c r="C247" s="2" t="s">
        <v>138</v>
      </c>
      <c r="D247" t="s">
        <v>115</v>
      </c>
    </row>
    <row r="248" spans="1:4" x14ac:dyDescent="0.25">
      <c r="A248">
        <v>520</v>
      </c>
      <c r="B248" t="s">
        <v>205</v>
      </c>
      <c r="C248" s="2" t="s">
        <v>133</v>
      </c>
      <c r="D248" t="s">
        <v>115</v>
      </c>
    </row>
    <row r="249" spans="1:4" x14ac:dyDescent="0.25">
      <c r="A249">
        <v>123</v>
      </c>
      <c r="B249" t="s">
        <v>280</v>
      </c>
      <c r="C249" s="2" t="s">
        <v>188</v>
      </c>
      <c r="D249" t="s">
        <v>114</v>
      </c>
    </row>
    <row r="250" spans="1:4" x14ac:dyDescent="0.25">
      <c r="A250">
        <v>123</v>
      </c>
      <c r="B250" t="s">
        <v>41</v>
      </c>
      <c r="C250" s="2" t="s">
        <v>189</v>
      </c>
      <c r="D250" t="s">
        <v>114</v>
      </c>
    </row>
    <row r="251" spans="1:4" x14ac:dyDescent="0.25">
      <c r="A251">
        <v>123</v>
      </c>
      <c r="B251" t="s">
        <v>65</v>
      </c>
      <c r="C251" s="2" t="s">
        <v>218</v>
      </c>
      <c r="D251" t="s">
        <v>114</v>
      </c>
    </row>
    <row r="252" spans="1:4" x14ac:dyDescent="0.25">
      <c r="A252">
        <v>123</v>
      </c>
      <c r="B252" t="s">
        <v>65</v>
      </c>
      <c r="C252" s="2" t="s">
        <v>50</v>
      </c>
      <c r="D252" t="s">
        <v>114</v>
      </c>
    </row>
    <row r="253" spans="1:4" x14ac:dyDescent="0.25">
      <c r="A253">
        <v>123</v>
      </c>
      <c r="B253" t="s">
        <v>205</v>
      </c>
      <c r="C253" s="2" t="s">
        <v>54</v>
      </c>
      <c r="D253" t="s">
        <v>114</v>
      </c>
    </row>
    <row r="254" spans="1:4" x14ac:dyDescent="0.25">
      <c r="A254">
        <v>127</v>
      </c>
      <c r="B254" t="s">
        <v>208</v>
      </c>
      <c r="C254" s="2" t="s">
        <v>187</v>
      </c>
      <c r="D254" t="s">
        <v>115</v>
      </c>
    </row>
    <row r="255" spans="1:4" x14ac:dyDescent="0.25">
      <c r="A255">
        <v>127</v>
      </c>
      <c r="B255" t="s">
        <v>208</v>
      </c>
      <c r="C255" s="2" t="s">
        <v>124</v>
      </c>
      <c r="D255" t="s">
        <v>115</v>
      </c>
    </row>
    <row r="256" spans="1:4" x14ac:dyDescent="0.25">
      <c r="A256">
        <v>127</v>
      </c>
      <c r="B256" t="s">
        <v>9</v>
      </c>
      <c r="C256" s="2" t="s">
        <v>218</v>
      </c>
      <c r="D256" t="s">
        <v>114</v>
      </c>
    </row>
    <row r="257" spans="1:4" x14ac:dyDescent="0.25">
      <c r="A257">
        <v>127</v>
      </c>
      <c r="B257" t="s">
        <v>194</v>
      </c>
      <c r="C257" s="2" t="s">
        <v>133</v>
      </c>
      <c r="D257" t="s">
        <v>114</v>
      </c>
    </row>
    <row r="258" spans="1:4" x14ac:dyDescent="0.25">
      <c r="A258">
        <v>563</v>
      </c>
      <c r="B258" t="s">
        <v>237</v>
      </c>
      <c r="C258" s="2" t="s">
        <v>187</v>
      </c>
      <c r="D258" t="s">
        <v>114</v>
      </c>
    </row>
    <row r="259" spans="1:4" x14ac:dyDescent="0.25">
      <c r="A259">
        <v>563</v>
      </c>
      <c r="B259" t="s">
        <v>237</v>
      </c>
      <c r="C259" s="2" t="s">
        <v>124</v>
      </c>
      <c r="D259" t="s">
        <v>114</v>
      </c>
    </row>
    <row r="260" spans="1:4" x14ac:dyDescent="0.25">
      <c r="A260">
        <v>563</v>
      </c>
      <c r="B260" t="s">
        <v>9</v>
      </c>
      <c r="C260" s="2" t="s">
        <v>188</v>
      </c>
      <c r="D260" t="s">
        <v>114</v>
      </c>
    </row>
    <row r="261" spans="1:4" x14ac:dyDescent="0.25">
      <c r="A261">
        <v>563</v>
      </c>
      <c r="B261" t="s">
        <v>9</v>
      </c>
      <c r="C261" s="2" t="s">
        <v>189</v>
      </c>
      <c r="D261" t="s">
        <v>114</v>
      </c>
    </row>
    <row r="262" spans="1:4" x14ac:dyDescent="0.25">
      <c r="A262">
        <v>565</v>
      </c>
      <c r="B262" t="s">
        <v>208</v>
      </c>
      <c r="C262" s="2" t="s">
        <v>187</v>
      </c>
      <c r="D262" t="s">
        <v>114</v>
      </c>
    </row>
    <row r="263" spans="1:4" x14ac:dyDescent="0.25">
      <c r="A263">
        <v>565</v>
      </c>
      <c r="B263" t="s">
        <v>208</v>
      </c>
      <c r="C263" s="2" t="s">
        <v>124</v>
      </c>
      <c r="D263" t="s">
        <v>114</v>
      </c>
    </row>
    <row r="264" spans="1:4" x14ac:dyDescent="0.25">
      <c r="A264">
        <v>565</v>
      </c>
      <c r="B264" t="s">
        <v>264</v>
      </c>
      <c r="C264" s="2" t="s">
        <v>50</v>
      </c>
      <c r="D264" t="s">
        <v>114</v>
      </c>
    </row>
    <row r="265" spans="1:4" x14ac:dyDescent="0.25">
      <c r="A265">
        <v>565</v>
      </c>
      <c r="B265" t="s">
        <v>65</v>
      </c>
      <c r="C265" s="2" t="s">
        <v>137</v>
      </c>
      <c r="D265" t="s">
        <v>114</v>
      </c>
    </row>
    <row r="266" spans="1:4" x14ac:dyDescent="0.25">
      <c r="A266">
        <v>404</v>
      </c>
      <c r="B266" t="s">
        <v>194</v>
      </c>
      <c r="C266" s="2" t="s">
        <v>188</v>
      </c>
      <c r="D266" t="s">
        <v>114</v>
      </c>
    </row>
    <row r="267" spans="1:4" x14ac:dyDescent="0.25">
      <c r="A267">
        <v>404</v>
      </c>
      <c r="B267" t="s">
        <v>14</v>
      </c>
      <c r="C267" s="2" t="s">
        <v>54</v>
      </c>
      <c r="D267" t="s">
        <v>114</v>
      </c>
    </row>
    <row r="268" spans="1:4" x14ac:dyDescent="0.25">
      <c r="A268">
        <v>404</v>
      </c>
      <c r="B268" t="s">
        <v>14</v>
      </c>
      <c r="C268" s="2" t="s">
        <v>55</v>
      </c>
      <c r="D268" t="s">
        <v>114</v>
      </c>
    </row>
    <row r="269" spans="1:4" x14ac:dyDescent="0.25">
      <c r="A269">
        <v>404</v>
      </c>
      <c r="B269" t="s">
        <v>14</v>
      </c>
      <c r="C269" s="2" t="s">
        <v>138</v>
      </c>
      <c r="D269" t="s">
        <v>114</v>
      </c>
    </row>
    <row r="270" spans="1:4" x14ac:dyDescent="0.25">
      <c r="A270">
        <v>407</v>
      </c>
      <c r="B270" t="s">
        <v>42</v>
      </c>
      <c r="C270" s="2" t="s">
        <v>187</v>
      </c>
      <c r="D270" t="s">
        <v>114</v>
      </c>
    </row>
    <row r="271" spans="1:4" x14ac:dyDescent="0.25">
      <c r="A271">
        <v>407</v>
      </c>
      <c r="B271" t="s">
        <v>42</v>
      </c>
      <c r="C271" s="2" t="s">
        <v>124</v>
      </c>
      <c r="D271" t="s">
        <v>114</v>
      </c>
    </row>
    <row r="272" spans="1:4" x14ac:dyDescent="0.25">
      <c r="A272">
        <v>407</v>
      </c>
      <c r="B272" t="s">
        <v>128</v>
      </c>
      <c r="C272" s="2" t="s">
        <v>46</v>
      </c>
      <c r="D272" t="s">
        <v>114</v>
      </c>
    </row>
    <row r="273" spans="1:4" x14ac:dyDescent="0.25">
      <c r="A273">
        <v>407</v>
      </c>
      <c r="B273" t="s">
        <v>128</v>
      </c>
      <c r="C273" s="2" t="s">
        <v>47</v>
      </c>
      <c r="D273" t="s">
        <v>114</v>
      </c>
    </row>
    <row r="274" spans="1:4" x14ac:dyDescent="0.25">
      <c r="A274">
        <v>407</v>
      </c>
      <c r="B274" t="s">
        <v>145</v>
      </c>
      <c r="C274" s="2" t="s">
        <v>138</v>
      </c>
      <c r="D274" t="s">
        <v>114</v>
      </c>
    </row>
    <row r="275" spans="1:4" x14ac:dyDescent="0.25">
      <c r="A275">
        <v>507</v>
      </c>
      <c r="B275" t="s">
        <v>41</v>
      </c>
      <c r="C275" s="2" t="s">
        <v>187</v>
      </c>
      <c r="D275" t="s">
        <v>114</v>
      </c>
    </row>
    <row r="276" spans="1:4" x14ac:dyDescent="0.25">
      <c r="A276">
        <v>507</v>
      </c>
      <c r="B276" t="s">
        <v>41</v>
      </c>
      <c r="C276" s="2" t="s">
        <v>124</v>
      </c>
      <c r="D276" t="s">
        <v>114</v>
      </c>
    </row>
    <row r="277" spans="1:4" x14ac:dyDescent="0.25">
      <c r="A277">
        <v>507</v>
      </c>
      <c r="B277" t="s">
        <v>234</v>
      </c>
      <c r="C277" s="2" t="s">
        <v>47</v>
      </c>
      <c r="D277" t="s">
        <v>114</v>
      </c>
    </row>
    <row r="278" spans="1:4" x14ac:dyDescent="0.25">
      <c r="A278">
        <v>507</v>
      </c>
      <c r="B278" t="s">
        <v>234</v>
      </c>
      <c r="C278" s="2" t="s">
        <v>188</v>
      </c>
      <c r="D278" t="s">
        <v>114</v>
      </c>
    </row>
    <row r="279" spans="1:4" x14ac:dyDescent="0.25">
      <c r="A279">
        <v>2</v>
      </c>
      <c r="B279" t="s">
        <v>128</v>
      </c>
      <c r="C279" s="2" t="s">
        <v>187</v>
      </c>
      <c r="D279" t="s">
        <v>115</v>
      </c>
    </row>
    <row r="280" spans="1:4" x14ac:dyDescent="0.25">
      <c r="A280">
        <v>2</v>
      </c>
      <c r="B280" t="s">
        <v>128</v>
      </c>
      <c r="C280" s="2" t="s">
        <v>124</v>
      </c>
      <c r="D280" t="s">
        <v>115</v>
      </c>
    </row>
    <row r="281" spans="1:4" x14ac:dyDescent="0.25">
      <c r="A281">
        <v>2</v>
      </c>
      <c r="B281" t="s">
        <v>10</v>
      </c>
      <c r="C281" s="2" t="s">
        <v>218</v>
      </c>
      <c r="D281" t="s">
        <v>114</v>
      </c>
    </row>
    <row r="282" spans="1:4" x14ac:dyDescent="0.25">
      <c r="A282">
        <v>2</v>
      </c>
      <c r="B282" t="s">
        <v>10</v>
      </c>
      <c r="C282" s="2" t="s">
        <v>50</v>
      </c>
      <c r="D282" t="s">
        <v>114</v>
      </c>
    </row>
    <row r="283" spans="1:4" x14ac:dyDescent="0.25">
      <c r="A283">
        <v>405</v>
      </c>
      <c r="B283" t="s">
        <v>24</v>
      </c>
      <c r="C283" s="2" t="s">
        <v>189</v>
      </c>
      <c r="D283" t="s">
        <v>115</v>
      </c>
    </row>
    <row r="284" spans="1:4" x14ac:dyDescent="0.25">
      <c r="A284">
        <v>405</v>
      </c>
      <c r="B284" t="s">
        <v>24</v>
      </c>
      <c r="C284" s="2" t="s">
        <v>218</v>
      </c>
      <c r="D284" t="s">
        <v>115</v>
      </c>
    </row>
    <row r="285" spans="1:4" x14ac:dyDescent="0.25">
      <c r="A285">
        <v>405</v>
      </c>
      <c r="B285" t="s">
        <v>65</v>
      </c>
      <c r="C285" s="2" t="s">
        <v>137</v>
      </c>
      <c r="D285" t="s">
        <v>114</v>
      </c>
    </row>
    <row r="286" spans="1:4" x14ac:dyDescent="0.25">
      <c r="A286">
        <v>405</v>
      </c>
      <c r="B286" t="s">
        <v>65</v>
      </c>
      <c r="C286" s="2" t="s">
        <v>138</v>
      </c>
      <c r="D286" t="s">
        <v>114</v>
      </c>
    </row>
    <row r="287" spans="1:4" x14ac:dyDescent="0.25">
      <c r="A287">
        <v>405</v>
      </c>
      <c r="B287" t="s">
        <v>65</v>
      </c>
      <c r="C287" s="2" t="s">
        <v>133</v>
      </c>
      <c r="D287" t="s">
        <v>114</v>
      </c>
    </row>
    <row r="288" spans="1:4" x14ac:dyDescent="0.25">
      <c r="A288">
        <v>379</v>
      </c>
      <c r="B288" t="s">
        <v>63</v>
      </c>
      <c r="C288" s="2" t="s">
        <v>218</v>
      </c>
      <c r="D288" t="s">
        <v>114</v>
      </c>
    </row>
    <row r="289" spans="1:4" x14ac:dyDescent="0.25">
      <c r="A289">
        <v>379</v>
      </c>
      <c r="B289" t="s">
        <v>63</v>
      </c>
      <c r="C289" s="2" t="s">
        <v>50</v>
      </c>
      <c r="D289" t="s">
        <v>114</v>
      </c>
    </row>
    <row r="290" spans="1:4" x14ac:dyDescent="0.25">
      <c r="A290">
        <v>379</v>
      </c>
      <c r="B290" t="s">
        <v>63</v>
      </c>
      <c r="C290" s="2" t="s">
        <v>132</v>
      </c>
      <c r="D290" t="s">
        <v>114</v>
      </c>
    </row>
    <row r="291" spans="1:4" x14ac:dyDescent="0.25">
      <c r="A291">
        <v>379</v>
      </c>
      <c r="B291" t="s">
        <v>63</v>
      </c>
      <c r="C291" s="2" t="s">
        <v>125</v>
      </c>
      <c r="D291" t="s">
        <v>114</v>
      </c>
    </row>
    <row r="292" spans="1:4" x14ac:dyDescent="0.25">
      <c r="A292">
        <v>379</v>
      </c>
      <c r="B292" t="s">
        <v>63</v>
      </c>
      <c r="C292" s="2" t="s">
        <v>138</v>
      </c>
      <c r="D292" t="s">
        <v>114</v>
      </c>
    </row>
    <row r="293" spans="1:4" x14ac:dyDescent="0.25">
      <c r="A293">
        <v>540</v>
      </c>
      <c r="B293" t="s">
        <v>41</v>
      </c>
      <c r="C293" s="2" t="s">
        <v>187</v>
      </c>
      <c r="D293" t="s">
        <v>115</v>
      </c>
    </row>
    <row r="294" spans="1:4" x14ac:dyDescent="0.25">
      <c r="A294">
        <v>540</v>
      </c>
      <c r="B294" t="s">
        <v>41</v>
      </c>
      <c r="C294" s="2" t="s">
        <v>124</v>
      </c>
      <c r="D294" t="s">
        <v>115</v>
      </c>
    </row>
    <row r="295" spans="1:4" x14ac:dyDescent="0.25">
      <c r="A295">
        <v>540</v>
      </c>
      <c r="B295" t="s">
        <v>40</v>
      </c>
      <c r="C295" s="2" t="s">
        <v>125</v>
      </c>
      <c r="D295" t="s">
        <v>114</v>
      </c>
    </row>
    <row r="296" spans="1:4" x14ac:dyDescent="0.25">
      <c r="A296">
        <v>540</v>
      </c>
      <c r="B296" t="s">
        <v>40</v>
      </c>
      <c r="C296" s="2" t="s">
        <v>54</v>
      </c>
      <c r="D296" t="s">
        <v>114</v>
      </c>
    </row>
    <row r="297" spans="1:4" x14ac:dyDescent="0.25">
      <c r="A297">
        <v>380</v>
      </c>
      <c r="B297" t="s">
        <v>41</v>
      </c>
      <c r="C297" s="2" t="s">
        <v>47</v>
      </c>
      <c r="D297" t="s">
        <v>114</v>
      </c>
    </row>
    <row r="298" spans="1:4" x14ac:dyDescent="0.25">
      <c r="A298">
        <v>380</v>
      </c>
      <c r="B298" t="s">
        <v>234</v>
      </c>
      <c r="C298" s="2" t="s">
        <v>189</v>
      </c>
      <c r="D298" t="s">
        <v>114</v>
      </c>
    </row>
    <row r="299" spans="1:4" x14ac:dyDescent="0.25">
      <c r="A299">
        <v>380</v>
      </c>
      <c r="B299" t="s">
        <v>234</v>
      </c>
      <c r="C299" s="2" t="s">
        <v>218</v>
      </c>
      <c r="D299" t="s">
        <v>114</v>
      </c>
    </row>
    <row r="300" spans="1:4" x14ac:dyDescent="0.25">
      <c r="A300">
        <v>380</v>
      </c>
      <c r="B300" t="s">
        <v>40</v>
      </c>
      <c r="C300" s="2" t="s">
        <v>125</v>
      </c>
      <c r="D300" t="s">
        <v>115</v>
      </c>
    </row>
    <row r="301" spans="1:4" x14ac:dyDescent="0.25">
      <c r="A301">
        <v>380</v>
      </c>
      <c r="B301" t="s">
        <v>40</v>
      </c>
      <c r="C301" s="2" t="s">
        <v>54</v>
      </c>
      <c r="D301" t="s">
        <v>115</v>
      </c>
    </row>
    <row r="302" spans="1:4" x14ac:dyDescent="0.25">
      <c r="A302">
        <v>6</v>
      </c>
      <c r="B302" t="s">
        <v>128</v>
      </c>
      <c r="C302" s="2" t="s">
        <v>187</v>
      </c>
      <c r="D302" t="s">
        <v>116</v>
      </c>
    </row>
    <row r="303" spans="1:4" x14ac:dyDescent="0.25">
      <c r="A303">
        <v>6</v>
      </c>
      <c r="B303" t="s">
        <v>128</v>
      </c>
      <c r="C303" s="2" t="s">
        <v>124</v>
      </c>
      <c r="D303" t="s">
        <v>116</v>
      </c>
    </row>
    <row r="304" spans="1:4" x14ac:dyDescent="0.25">
      <c r="A304">
        <v>6</v>
      </c>
      <c r="B304" t="s">
        <v>41</v>
      </c>
      <c r="C304" s="2" t="s">
        <v>46</v>
      </c>
      <c r="D304" t="s">
        <v>115</v>
      </c>
    </row>
    <row r="305" spans="1:4" x14ac:dyDescent="0.25">
      <c r="A305">
        <v>6</v>
      </c>
      <c r="B305" t="s">
        <v>41</v>
      </c>
      <c r="C305" s="2" t="s">
        <v>47</v>
      </c>
      <c r="D305" t="s">
        <v>115</v>
      </c>
    </row>
    <row r="306" spans="1:4" x14ac:dyDescent="0.25">
      <c r="A306">
        <v>6</v>
      </c>
      <c r="B306" t="s">
        <v>145</v>
      </c>
      <c r="C306" s="2" t="s">
        <v>133</v>
      </c>
      <c r="D306" t="s">
        <v>114</v>
      </c>
    </row>
    <row r="307" spans="1:4" x14ac:dyDescent="0.25">
      <c r="A307">
        <v>485</v>
      </c>
      <c r="B307" t="s">
        <v>128</v>
      </c>
      <c r="C307" s="2" t="s">
        <v>46</v>
      </c>
      <c r="D307" t="s">
        <v>115</v>
      </c>
    </row>
    <row r="308" spans="1:4" x14ac:dyDescent="0.25">
      <c r="A308">
        <v>485</v>
      </c>
      <c r="B308" t="s">
        <v>128</v>
      </c>
      <c r="C308" s="2" t="s">
        <v>47</v>
      </c>
      <c r="D308" t="s">
        <v>115</v>
      </c>
    </row>
    <row r="309" spans="1:4" x14ac:dyDescent="0.25">
      <c r="A309">
        <v>485</v>
      </c>
      <c r="B309" t="s">
        <v>10</v>
      </c>
      <c r="C309" s="2" t="s">
        <v>218</v>
      </c>
      <c r="D309" t="s">
        <v>115</v>
      </c>
    </row>
    <row r="310" spans="1:4" x14ac:dyDescent="0.25">
      <c r="A310">
        <v>485</v>
      </c>
      <c r="B310" t="s">
        <v>10</v>
      </c>
      <c r="C310" s="2" t="s">
        <v>50</v>
      </c>
      <c r="D310" t="s">
        <v>115</v>
      </c>
    </row>
    <row r="311" spans="1:4" x14ac:dyDescent="0.25">
      <c r="A311">
        <v>427</v>
      </c>
      <c r="B311" t="s">
        <v>128</v>
      </c>
      <c r="C311" s="2" t="s">
        <v>46</v>
      </c>
      <c r="D311" t="s">
        <v>116</v>
      </c>
    </row>
    <row r="312" spans="1:4" x14ac:dyDescent="0.25">
      <c r="A312">
        <v>427</v>
      </c>
      <c r="B312" t="s">
        <v>128</v>
      </c>
      <c r="C312" s="2" t="s">
        <v>47</v>
      </c>
      <c r="D312" t="s">
        <v>116</v>
      </c>
    </row>
    <row r="313" spans="1:4" x14ac:dyDescent="0.25">
      <c r="A313">
        <v>427</v>
      </c>
      <c r="B313" t="s">
        <v>14</v>
      </c>
      <c r="C313" s="2" t="s">
        <v>55</v>
      </c>
      <c r="D313" t="s">
        <v>115</v>
      </c>
    </row>
    <row r="314" spans="1:4" x14ac:dyDescent="0.25">
      <c r="A314">
        <v>427</v>
      </c>
      <c r="B314" t="s">
        <v>14</v>
      </c>
      <c r="C314" s="2" t="s">
        <v>138</v>
      </c>
      <c r="D314" t="s">
        <v>115</v>
      </c>
    </row>
    <row r="315" spans="1:4" x14ac:dyDescent="0.25">
      <c r="A315">
        <v>461</v>
      </c>
      <c r="B315" t="s">
        <v>41</v>
      </c>
      <c r="C315" s="2" t="s">
        <v>188</v>
      </c>
      <c r="D315" t="s">
        <v>114</v>
      </c>
    </row>
    <row r="316" spans="1:4" x14ac:dyDescent="0.25">
      <c r="A316">
        <v>461</v>
      </c>
      <c r="B316" t="s">
        <v>41</v>
      </c>
      <c r="C316" s="2" t="s">
        <v>189</v>
      </c>
      <c r="D316" t="s">
        <v>114</v>
      </c>
    </row>
    <row r="317" spans="1:4" x14ac:dyDescent="0.25">
      <c r="A317">
        <v>461</v>
      </c>
      <c r="B317" t="s">
        <v>234</v>
      </c>
      <c r="C317" s="2" t="s">
        <v>50</v>
      </c>
      <c r="D317" t="s">
        <v>114</v>
      </c>
    </row>
    <row r="318" spans="1:4" x14ac:dyDescent="0.25">
      <c r="A318">
        <v>461</v>
      </c>
      <c r="B318" t="s">
        <v>214</v>
      </c>
      <c r="C318" s="2" t="s">
        <v>133</v>
      </c>
      <c r="D318" t="s">
        <v>114</v>
      </c>
    </row>
    <row r="319" spans="1:4" x14ac:dyDescent="0.25">
      <c r="A319">
        <v>487</v>
      </c>
      <c r="B319" t="s">
        <v>41</v>
      </c>
      <c r="C319" s="2" t="s">
        <v>188</v>
      </c>
      <c r="D319" t="s">
        <v>115</v>
      </c>
    </row>
    <row r="320" spans="1:4" x14ac:dyDescent="0.25">
      <c r="A320">
        <v>487</v>
      </c>
      <c r="B320" t="s">
        <v>41</v>
      </c>
      <c r="C320" s="2" t="s">
        <v>189</v>
      </c>
      <c r="D320" t="s">
        <v>115</v>
      </c>
    </row>
    <row r="321" spans="1:4" x14ac:dyDescent="0.25">
      <c r="A321">
        <v>487</v>
      </c>
      <c r="B321" t="s">
        <v>41</v>
      </c>
      <c r="C321" s="2" t="s">
        <v>132</v>
      </c>
      <c r="D321" t="s">
        <v>115</v>
      </c>
    </row>
    <row r="322" spans="1:4" x14ac:dyDescent="0.25">
      <c r="A322">
        <v>487</v>
      </c>
      <c r="B322" t="s">
        <v>41</v>
      </c>
      <c r="C322" s="2" t="s">
        <v>125</v>
      </c>
      <c r="D322" t="s">
        <v>115</v>
      </c>
    </row>
    <row r="323" spans="1:4" x14ac:dyDescent="0.25">
      <c r="A323">
        <v>487</v>
      </c>
      <c r="B323" t="s">
        <v>40</v>
      </c>
      <c r="C323" s="2" t="s">
        <v>55</v>
      </c>
      <c r="D323" t="s">
        <v>114</v>
      </c>
    </row>
    <row r="324" spans="1:4" x14ac:dyDescent="0.25">
      <c r="A324">
        <v>487</v>
      </c>
      <c r="B324" t="s">
        <v>40</v>
      </c>
      <c r="C324" s="2" t="s">
        <v>138</v>
      </c>
      <c r="D324" t="s">
        <v>114</v>
      </c>
    </row>
    <row r="325" spans="1:4" x14ac:dyDescent="0.25">
      <c r="A325">
        <v>72</v>
      </c>
      <c r="B325" t="s">
        <v>24</v>
      </c>
      <c r="C325" s="2" t="s">
        <v>189</v>
      </c>
      <c r="D325" t="s">
        <v>114</v>
      </c>
    </row>
    <row r="326" spans="1:4" x14ac:dyDescent="0.25">
      <c r="A326">
        <v>72</v>
      </c>
      <c r="B326" t="s">
        <v>24</v>
      </c>
      <c r="C326" s="2" t="s">
        <v>218</v>
      </c>
      <c r="D326" t="s">
        <v>114</v>
      </c>
    </row>
    <row r="327" spans="1:4" x14ac:dyDescent="0.25">
      <c r="A327">
        <v>72</v>
      </c>
      <c r="B327" t="s">
        <v>14</v>
      </c>
      <c r="C327" s="2" t="s">
        <v>54</v>
      </c>
      <c r="D327" t="s">
        <v>115</v>
      </c>
    </row>
    <row r="328" spans="1:4" x14ac:dyDescent="0.25">
      <c r="A328">
        <v>72</v>
      </c>
      <c r="B328" t="s">
        <v>221</v>
      </c>
      <c r="C328" s="2" t="s">
        <v>55</v>
      </c>
      <c r="D328" t="s">
        <v>114</v>
      </c>
    </row>
    <row r="329" spans="1:4" x14ac:dyDescent="0.25">
      <c r="A329">
        <v>388</v>
      </c>
      <c r="B329" t="s">
        <v>128</v>
      </c>
      <c r="C329" s="2" t="s">
        <v>188</v>
      </c>
      <c r="D329" t="s">
        <v>114</v>
      </c>
    </row>
    <row r="330" spans="1:4" x14ac:dyDescent="0.25">
      <c r="A330">
        <v>388</v>
      </c>
      <c r="B330" t="s">
        <v>128</v>
      </c>
      <c r="C330" s="2" t="s">
        <v>189</v>
      </c>
      <c r="D330" t="s">
        <v>114</v>
      </c>
    </row>
    <row r="331" spans="1:4" x14ac:dyDescent="0.25">
      <c r="A331">
        <v>388</v>
      </c>
      <c r="B331" t="s">
        <v>10</v>
      </c>
      <c r="C331" s="2" t="s">
        <v>51</v>
      </c>
      <c r="D331" t="s">
        <v>114</v>
      </c>
    </row>
    <row r="332" spans="1:4" x14ac:dyDescent="0.25">
      <c r="A332">
        <v>388</v>
      </c>
      <c r="B332" t="s">
        <v>10</v>
      </c>
      <c r="C332" s="2" t="s">
        <v>137</v>
      </c>
      <c r="D332" t="s">
        <v>114</v>
      </c>
    </row>
    <row r="333" spans="1:4" x14ac:dyDescent="0.25">
      <c r="A333">
        <v>428</v>
      </c>
      <c r="B333" t="s">
        <v>63</v>
      </c>
      <c r="C333" s="2" t="s">
        <v>188</v>
      </c>
      <c r="D333" t="s">
        <v>114</v>
      </c>
    </row>
    <row r="334" spans="1:4" x14ac:dyDescent="0.25">
      <c r="A334">
        <v>428</v>
      </c>
      <c r="B334" t="s">
        <v>63</v>
      </c>
      <c r="C334" s="2" t="s">
        <v>189</v>
      </c>
      <c r="D334" t="s">
        <v>114</v>
      </c>
    </row>
    <row r="335" spans="1:4" x14ac:dyDescent="0.25">
      <c r="A335">
        <v>428</v>
      </c>
      <c r="B335" t="s">
        <v>63</v>
      </c>
      <c r="C335" s="2" t="s">
        <v>51</v>
      </c>
      <c r="D335" t="s">
        <v>114</v>
      </c>
    </row>
    <row r="336" spans="1:4" x14ac:dyDescent="0.25">
      <c r="A336">
        <v>428</v>
      </c>
      <c r="B336" t="s">
        <v>63</v>
      </c>
      <c r="C336" s="2" t="s">
        <v>54</v>
      </c>
      <c r="D336" t="s">
        <v>114</v>
      </c>
    </row>
    <row r="337" spans="1:4" x14ac:dyDescent="0.25">
      <c r="A337">
        <v>13</v>
      </c>
      <c r="B337" t="s">
        <v>22</v>
      </c>
      <c r="C337" s="2" t="s">
        <v>187</v>
      </c>
      <c r="D337" t="s">
        <v>114</v>
      </c>
    </row>
    <row r="338" spans="1:4" x14ac:dyDescent="0.25">
      <c r="A338">
        <v>13</v>
      </c>
      <c r="B338" t="s">
        <v>22</v>
      </c>
      <c r="C338" s="2" t="s">
        <v>124</v>
      </c>
      <c r="D338" t="s">
        <v>114</v>
      </c>
    </row>
    <row r="339" spans="1:4" x14ac:dyDescent="0.25">
      <c r="A339">
        <v>13</v>
      </c>
      <c r="B339" t="s">
        <v>22</v>
      </c>
      <c r="C339" s="2" t="s">
        <v>46</v>
      </c>
      <c r="D339" t="s">
        <v>114</v>
      </c>
    </row>
    <row r="340" spans="1:4" x14ac:dyDescent="0.25">
      <c r="A340">
        <v>15</v>
      </c>
      <c r="B340" t="s">
        <v>41</v>
      </c>
      <c r="C340" s="2" t="s">
        <v>218</v>
      </c>
      <c r="D340" t="s">
        <v>114</v>
      </c>
    </row>
    <row r="341" spans="1:4" x14ac:dyDescent="0.25">
      <c r="A341">
        <v>15</v>
      </c>
      <c r="B341" t="s">
        <v>41</v>
      </c>
      <c r="C341" s="2" t="s">
        <v>50</v>
      </c>
      <c r="D341" t="s">
        <v>114</v>
      </c>
    </row>
    <row r="342" spans="1:4" x14ac:dyDescent="0.25">
      <c r="A342">
        <v>15</v>
      </c>
      <c r="B342" t="s">
        <v>40</v>
      </c>
      <c r="C342" s="2" t="s">
        <v>55</v>
      </c>
      <c r="D342" t="s">
        <v>115</v>
      </c>
    </row>
    <row r="343" spans="1:4" x14ac:dyDescent="0.25">
      <c r="A343">
        <v>15</v>
      </c>
      <c r="B343" t="s">
        <v>40</v>
      </c>
      <c r="C343" s="2" t="s">
        <v>138</v>
      </c>
      <c r="D343" t="s">
        <v>115</v>
      </c>
    </row>
    <row r="344" spans="1:4" x14ac:dyDescent="0.25">
      <c r="A344">
        <v>17</v>
      </c>
      <c r="B344" t="s">
        <v>226</v>
      </c>
      <c r="C344" s="2" t="s">
        <v>188</v>
      </c>
      <c r="D344" t="s">
        <v>114</v>
      </c>
    </row>
    <row r="345" spans="1:4" x14ac:dyDescent="0.25">
      <c r="A345">
        <v>17</v>
      </c>
      <c r="B345" t="s">
        <v>226</v>
      </c>
      <c r="C345" s="2" t="s">
        <v>189</v>
      </c>
      <c r="D345" t="s">
        <v>114</v>
      </c>
    </row>
    <row r="346" spans="1:4" x14ac:dyDescent="0.25">
      <c r="A346">
        <v>17</v>
      </c>
      <c r="B346" t="s">
        <v>128</v>
      </c>
      <c r="C346" s="2" t="s">
        <v>218</v>
      </c>
      <c r="D346" t="s">
        <v>115</v>
      </c>
    </row>
    <row r="347" spans="1:4" x14ac:dyDescent="0.25">
      <c r="A347">
        <v>17</v>
      </c>
      <c r="B347" t="s">
        <v>128</v>
      </c>
      <c r="C347" s="2" t="s">
        <v>50</v>
      </c>
      <c r="D347" t="s">
        <v>115</v>
      </c>
    </row>
    <row r="348" spans="1:4" x14ac:dyDescent="0.25">
      <c r="A348">
        <v>20</v>
      </c>
      <c r="B348" t="s">
        <v>41</v>
      </c>
      <c r="C348" s="2" t="s">
        <v>46</v>
      </c>
      <c r="D348" t="s">
        <v>114</v>
      </c>
    </row>
    <row r="349" spans="1:4" x14ac:dyDescent="0.25">
      <c r="A349">
        <v>20</v>
      </c>
      <c r="B349" t="s">
        <v>128</v>
      </c>
      <c r="C349" s="2" t="s">
        <v>51</v>
      </c>
      <c r="D349" t="s">
        <v>114</v>
      </c>
    </row>
    <row r="350" spans="1:4" x14ac:dyDescent="0.25">
      <c r="A350">
        <v>20</v>
      </c>
      <c r="B350" t="s">
        <v>128</v>
      </c>
      <c r="C350" s="2" t="s">
        <v>137</v>
      </c>
      <c r="D350" t="s">
        <v>114</v>
      </c>
    </row>
    <row r="351" spans="1:4" x14ac:dyDescent="0.25">
      <c r="A351">
        <v>20</v>
      </c>
      <c r="B351" t="s">
        <v>143</v>
      </c>
      <c r="C351" s="2" t="s">
        <v>125</v>
      </c>
      <c r="D351" t="s">
        <v>114</v>
      </c>
    </row>
    <row r="352" spans="1:4" x14ac:dyDescent="0.25">
      <c r="A352">
        <v>328</v>
      </c>
      <c r="B352" t="s">
        <v>148</v>
      </c>
      <c r="C352" s="2" t="s">
        <v>46</v>
      </c>
      <c r="D352" t="s">
        <v>114</v>
      </c>
    </row>
    <row r="353" spans="1:4" x14ac:dyDescent="0.25">
      <c r="A353">
        <v>328</v>
      </c>
      <c r="B353" t="s">
        <v>148</v>
      </c>
      <c r="C353" s="2" t="s">
        <v>47</v>
      </c>
      <c r="D353" t="s">
        <v>114</v>
      </c>
    </row>
    <row r="354" spans="1:4" x14ac:dyDescent="0.25">
      <c r="A354">
        <v>328</v>
      </c>
      <c r="B354" t="s">
        <v>128</v>
      </c>
      <c r="C354" s="2" t="s">
        <v>51</v>
      </c>
      <c r="D354" t="s">
        <v>115</v>
      </c>
    </row>
    <row r="355" spans="1:4" x14ac:dyDescent="0.25">
      <c r="A355">
        <v>328</v>
      </c>
      <c r="B355" t="s">
        <v>128</v>
      </c>
      <c r="C355" s="2" t="s">
        <v>137</v>
      </c>
      <c r="D355" t="s">
        <v>115</v>
      </c>
    </row>
    <row r="356" spans="1:4" x14ac:dyDescent="0.25">
      <c r="A356">
        <v>546</v>
      </c>
      <c r="B356" t="s">
        <v>10</v>
      </c>
      <c r="C356" s="2" t="s">
        <v>51</v>
      </c>
      <c r="D356" t="s">
        <v>115</v>
      </c>
    </row>
    <row r="357" spans="1:4" x14ac:dyDescent="0.25">
      <c r="A357">
        <v>546</v>
      </c>
      <c r="B357" t="s">
        <v>128</v>
      </c>
      <c r="C357" s="2" t="s">
        <v>132</v>
      </c>
      <c r="D357" t="s">
        <v>114</v>
      </c>
    </row>
    <row r="358" spans="1:4" x14ac:dyDescent="0.25">
      <c r="A358">
        <v>546</v>
      </c>
      <c r="B358" t="s">
        <v>128</v>
      </c>
      <c r="C358" s="2" t="s">
        <v>125</v>
      </c>
      <c r="D358" t="s">
        <v>114</v>
      </c>
    </row>
    <row r="359" spans="1:4" x14ac:dyDescent="0.25">
      <c r="A359">
        <v>546</v>
      </c>
      <c r="B359" t="s">
        <v>273</v>
      </c>
      <c r="C359" s="2" t="s">
        <v>133</v>
      </c>
      <c r="D359" t="s">
        <v>114</v>
      </c>
    </row>
    <row r="360" spans="1:4" x14ac:dyDescent="0.25">
      <c r="A360">
        <v>423</v>
      </c>
      <c r="B360" t="s">
        <v>198</v>
      </c>
      <c r="C360" s="2" t="s">
        <v>47</v>
      </c>
      <c r="D360" t="s">
        <v>115</v>
      </c>
    </row>
    <row r="361" spans="1:4" x14ac:dyDescent="0.25">
      <c r="A361">
        <v>423</v>
      </c>
      <c r="B361" t="s">
        <v>128</v>
      </c>
      <c r="C361" s="2" t="s">
        <v>132</v>
      </c>
      <c r="D361" t="s">
        <v>115</v>
      </c>
    </row>
    <row r="362" spans="1:4" x14ac:dyDescent="0.25">
      <c r="A362">
        <v>423</v>
      </c>
      <c r="B362" t="s">
        <v>128</v>
      </c>
      <c r="C362" s="2" t="s">
        <v>125</v>
      </c>
      <c r="D362" t="s">
        <v>115</v>
      </c>
    </row>
    <row r="363" spans="1:4" x14ac:dyDescent="0.25">
      <c r="A363">
        <v>423</v>
      </c>
      <c r="B363" t="s">
        <v>14</v>
      </c>
      <c r="C363" s="2" t="s">
        <v>55</v>
      </c>
      <c r="D363" t="s">
        <v>114</v>
      </c>
    </row>
    <row r="364" spans="1:4" x14ac:dyDescent="0.25">
      <c r="A364">
        <v>423</v>
      </c>
      <c r="B364" t="s">
        <v>14</v>
      </c>
      <c r="C364" s="2" t="s">
        <v>138</v>
      </c>
      <c r="D364" t="s">
        <v>114</v>
      </c>
    </row>
    <row r="365" spans="1:4" x14ac:dyDescent="0.25">
      <c r="A365">
        <v>492</v>
      </c>
      <c r="B365" t="s">
        <v>35</v>
      </c>
      <c r="C365" s="2" t="s">
        <v>46</v>
      </c>
      <c r="D365" t="s">
        <v>114</v>
      </c>
    </row>
    <row r="366" spans="1:4" x14ac:dyDescent="0.25">
      <c r="A366">
        <v>492</v>
      </c>
      <c r="B366" t="s">
        <v>35</v>
      </c>
      <c r="C366" s="2" t="s">
        <v>47</v>
      </c>
      <c r="D366" t="s">
        <v>114</v>
      </c>
    </row>
    <row r="367" spans="1:4" x14ac:dyDescent="0.25">
      <c r="A367">
        <v>492</v>
      </c>
      <c r="B367" t="s">
        <v>192</v>
      </c>
      <c r="C367" s="2" t="s">
        <v>50</v>
      </c>
      <c r="D367" t="s">
        <v>115</v>
      </c>
    </row>
    <row r="368" spans="1:4" x14ac:dyDescent="0.25">
      <c r="A368">
        <v>492</v>
      </c>
      <c r="B368" t="s">
        <v>41</v>
      </c>
      <c r="C368" s="2" t="s">
        <v>51</v>
      </c>
      <c r="D368" t="s">
        <v>114</v>
      </c>
    </row>
    <row r="369" spans="1:4" x14ac:dyDescent="0.25">
      <c r="A369">
        <v>492</v>
      </c>
      <c r="B369" t="s">
        <v>41</v>
      </c>
      <c r="C369" s="2" t="s">
        <v>137</v>
      </c>
      <c r="D369" t="s">
        <v>114</v>
      </c>
    </row>
    <row r="370" spans="1:4" x14ac:dyDescent="0.25">
      <c r="A370">
        <v>548</v>
      </c>
      <c r="B370" t="s">
        <v>223</v>
      </c>
      <c r="C370" s="2" t="s">
        <v>46</v>
      </c>
      <c r="D370" t="s">
        <v>115</v>
      </c>
    </row>
    <row r="371" spans="1:4" x14ac:dyDescent="0.25">
      <c r="A371">
        <v>548</v>
      </c>
      <c r="B371" t="s">
        <v>24</v>
      </c>
      <c r="C371" s="2" t="s">
        <v>50</v>
      </c>
      <c r="D371" t="s">
        <v>115</v>
      </c>
    </row>
    <row r="372" spans="1:4" x14ac:dyDescent="0.25">
      <c r="A372">
        <v>548</v>
      </c>
      <c r="B372" t="s">
        <v>24</v>
      </c>
      <c r="C372" s="2" t="s">
        <v>51</v>
      </c>
      <c r="D372" t="s">
        <v>115</v>
      </c>
    </row>
    <row r="373" spans="1:4" x14ac:dyDescent="0.25">
      <c r="A373">
        <v>548</v>
      </c>
      <c r="B373" t="s">
        <v>221</v>
      </c>
      <c r="C373" s="2" t="s">
        <v>55</v>
      </c>
      <c r="D373" t="s">
        <v>115</v>
      </c>
    </row>
    <row r="374" spans="1:4" x14ac:dyDescent="0.25">
      <c r="A374">
        <v>27</v>
      </c>
      <c r="B374" t="s">
        <v>141</v>
      </c>
      <c r="C374" s="2" t="s">
        <v>124</v>
      </c>
      <c r="D374" t="s">
        <v>114</v>
      </c>
    </row>
    <row r="375" spans="1:4" x14ac:dyDescent="0.25">
      <c r="A375">
        <v>27</v>
      </c>
      <c r="B375" t="s">
        <v>141</v>
      </c>
      <c r="C375" s="2" t="s">
        <v>46</v>
      </c>
      <c r="D375" t="s">
        <v>114</v>
      </c>
    </row>
    <row r="376" spans="1:4" x14ac:dyDescent="0.25">
      <c r="A376">
        <v>27</v>
      </c>
      <c r="B376" t="s">
        <v>128</v>
      </c>
      <c r="C376" s="2" t="s">
        <v>54</v>
      </c>
      <c r="D376" t="s">
        <v>114</v>
      </c>
    </row>
    <row r="377" spans="1:4" x14ac:dyDescent="0.25">
      <c r="A377">
        <v>27</v>
      </c>
      <c r="B377" t="s">
        <v>128</v>
      </c>
      <c r="C377" s="2" t="s">
        <v>55</v>
      </c>
      <c r="D377" t="s">
        <v>114</v>
      </c>
    </row>
    <row r="378" spans="1:4" x14ac:dyDescent="0.25">
      <c r="A378">
        <v>310</v>
      </c>
      <c r="B378" t="s">
        <v>269</v>
      </c>
      <c r="C378" s="2" t="s">
        <v>187</v>
      </c>
      <c r="D378" t="s">
        <v>114</v>
      </c>
    </row>
    <row r="379" spans="1:4" x14ac:dyDescent="0.25">
      <c r="A379">
        <v>310</v>
      </c>
      <c r="B379" t="s">
        <v>128</v>
      </c>
      <c r="C379" s="2" t="s">
        <v>50</v>
      </c>
      <c r="D379" t="s">
        <v>114</v>
      </c>
    </row>
    <row r="380" spans="1:4" x14ac:dyDescent="0.25">
      <c r="A380">
        <v>310</v>
      </c>
      <c r="B380" t="s">
        <v>41</v>
      </c>
      <c r="C380" s="2" t="s">
        <v>51</v>
      </c>
      <c r="D380" t="s">
        <v>115</v>
      </c>
    </row>
    <row r="381" spans="1:4" x14ac:dyDescent="0.25">
      <c r="A381">
        <v>310</v>
      </c>
      <c r="B381" t="s">
        <v>41</v>
      </c>
      <c r="C381" s="2" t="s">
        <v>137</v>
      </c>
      <c r="D381" t="s">
        <v>115</v>
      </c>
    </row>
    <row r="382" spans="1:4" x14ac:dyDescent="0.25">
      <c r="A382">
        <v>31</v>
      </c>
      <c r="B382" t="s">
        <v>25</v>
      </c>
      <c r="C382" s="2" t="s">
        <v>187</v>
      </c>
      <c r="D382" t="s">
        <v>115</v>
      </c>
    </row>
    <row r="383" spans="1:4" x14ac:dyDescent="0.25">
      <c r="A383">
        <v>31</v>
      </c>
      <c r="B383" t="s">
        <v>25</v>
      </c>
      <c r="C383" s="2" t="s">
        <v>124</v>
      </c>
      <c r="D383" t="s">
        <v>115</v>
      </c>
    </row>
    <row r="384" spans="1:4" x14ac:dyDescent="0.25">
      <c r="A384">
        <v>31</v>
      </c>
      <c r="B384" t="s">
        <v>128</v>
      </c>
      <c r="C384" s="2" t="s">
        <v>218</v>
      </c>
      <c r="D384" t="s">
        <v>114</v>
      </c>
    </row>
    <row r="385" spans="1:4" x14ac:dyDescent="0.25">
      <c r="A385">
        <v>31</v>
      </c>
      <c r="B385" t="s">
        <v>14</v>
      </c>
      <c r="C385" s="2" t="s">
        <v>133</v>
      </c>
      <c r="D385" t="s">
        <v>114</v>
      </c>
    </row>
    <row r="386" spans="1:4" x14ac:dyDescent="0.25">
      <c r="A386">
        <v>424</v>
      </c>
      <c r="B386" t="s">
        <v>143</v>
      </c>
      <c r="C386" s="2" t="s">
        <v>137</v>
      </c>
      <c r="D386" t="s">
        <v>114</v>
      </c>
    </row>
    <row r="387" spans="1:4" x14ac:dyDescent="0.25">
      <c r="A387">
        <v>424</v>
      </c>
      <c r="B387" t="s">
        <v>143</v>
      </c>
      <c r="C387" s="2" t="s">
        <v>132</v>
      </c>
      <c r="D387" t="s">
        <v>114</v>
      </c>
    </row>
    <row r="388" spans="1:4" x14ac:dyDescent="0.25">
      <c r="A388">
        <v>424</v>
      </c>
      <c r="B388" t="s">
        <v>128</v>
      </c>
      <c r="C388" s="2" t="s">
        <v>138</v>
      </c>
      <c r="D388" t="s">
        <v>114</v>
      </c>
    </row>
    <row r="389" spans="1:4" x14ac:dyDescent="0.25">
      <c r="A389">
        <v>424</v>
      </c>
      <c r="B389" t="s">
        <v>40</v>
      </c>
      <c r="C389" s="2" t="s">
        <v>133</v>
      </c>
      <c r="D389" t="s">
        <v>114</v>
      </c>
    </row>
    <row r="390" spans="1:4" x14ac:dyDescent="0.25">
      <c r="A390">
        <v>459</v>
      </c>
      <c r="B390" t="s">
        <v>208</v>
      </c>
      <c r="C390" s="2" t="s">
        <v>187</v>
      </c>
      <c r="D390" t="s">
        <v>115</v>
      </c>
    </row>
    <row r="391" spans="1:4" x14ac:dyDescent="0.25">
      <c r="A391">
        <v>459</v>
      </c>
      <c r="B391" t="s">
        <v>208</v>
      </c>
      <c r="C391" s="2" t="s">
        <v>124</v>
      </c>
      <c r="D391" t="s">
        <v>115</v>
      </c>
    </row>
    <row r="392" spans="1:4" x14ac:dyDescent="0.25">
      <c r="A392">
        <v>459</v>
      </c>
      <c r="B392" t="s">
        <v>128</v>
      </c>
      <c r="C392" s="2" t="s">
        <v>188</v>
      </c>
      <c r="D392" t="s">
        <v>115</v>
      </c>
    </row>
    <row r="393" spans="1:4" x14ac:dyDescent="0.25">
      <c r="A393">
        <v>459</v>
      </c>
      <c r="B393" t="s">
        <v>128</v>
      </c>
      <c r="C393" s="2" t="s">
        <v>189</v>
      </c>
      <c r="D393" t="s">
        <v>115</v>
      </c>
    </row>
    <row r="394" spans="1:4" x14ac:dyDescent="0.25">
      <c r="A394">
        <v>459</v>
      </c>
      <c r="B394" t="s">
        <v>18</v>
      </c>
      <c r="C394" s="2" t="s">
        <v>132</v>
      </c>
      <c r="D394" t="s">
        <v>114</v>
      </c>
    </row>
    <row r="395" spans="1:4" x14ac:dyDescent="0.25">
      <c r="A395">
        <v>459</v>
      </c>
      <c r="B395" t="s">
        <v>18</v>
      </c>
      <c r="C395" s="2" t="s">
        <v>125</v>
      </c>
      <c r="D395" t="s">
        <v>114</v>
      </c>
    </row>
    <row r="396" spans="1:4" x14ac:dyDescent="0.25">
      <c r="A396">
        <v>459</v>
      </c>
      <c r="B396" t="s">
        <v>128</v>
      </c>
      <c r="C396" s="2" t="s">
        <v>138</v>
      </c>
      <c r="D396" t="s">
        <v>115</v>
      </c>
    </row>
    <row r="397" spans="1:4" x14ac:dyDescent="0.25">
      <c r="A397">
        <v>459</v>
      </c>
      <c r="B397" t="s">
        <v>128</v>
      </c>
      <c r="C397" s="2" t="s">
        <v>133</v>
      </c>
      <c r="D397" t="s">
        <v>115</v>
      </c>
    </row>
    <row r="398" spans="1:4" x14ac:dyDescent="0.25">
      <c r="A398">
        <v>91</v>
      </c>
      <c r="B398" t="s">
        <v>25</v>
      </c>
      <c r="C398" s="2" t="s">
        <v>46</v>
      </c>
      <c r="D398" t="s">
        <v>114</v>
      </c>
    </row>
    <row r="399" spans="1:4" x14ac:dyDescent="0.25">
      <c r="A399">
        <v>91</v>
      </c>
      <c r="B399" t="s">
        <v>280</v>
      </c>
      <c r="C399" s="2" t="s">
        <v>188</v>
      </c>
      <c r="D399" t="s">
        <v>114</v>
      </c>
    </row>
    <row r="400" spans="1:4" x14ac:dyDescent="0.25">
      <c r="A400">
        <v>91</v>
      </c>
      <c r="B400" t="s">
        <v>65</v>
      </c>
      <c r="C400" s="2" t="s">
        <v>50</v>
      </c>
      <c r="D400" t="s">
        <v>114</v>
      </c>
    </row>
    <row r="401" spans="1:4" x14ac:dyDescent="0.25">
      <c r="A401">
        <v>91</v>
      </c>
      <c r="B401" t="s">
        <v>65</v>
      </c>
      <c r="C401" s="2" t="s">
        <v>125</v>
      </c>
      <c r="D401" t="s">
        <v>114</v>
      </c>
    </row>
    <row r="402" spans="1:4" x14ac:dyDescent="0.25">
      <c r="A402">
        <v>326</v>
      </c>
      <c r="B402" t="s">
        <v>18</v>
      </c>
      <c r="C402" s="2" t="s">
        <v>54</v>
      </c>
      <c r="D402" t="s">
        <v>114</v>
      </c>
    </row>
    <row r="403" spans="1:4" x14ac:dyDescent="0.25">
      <c r="A403">
        <v>326</v>
      </c>
      <c r="B403" t="s">
        <v>18</v>
      </c>
      <c r="C403" s="2" t="s">
        <v>55</v>
      </c>
      <c r="D403" t="s">
        <v>114</v>
      </c>
    </row>
    <row r="404" spans="1:4" x14ac:dyDescent="0.25">
      <c r="A404">
        <v>38</v>
      </c>
      <c r="B404" t="s">
        <v>192</v>
      </c>
      <c r="C404" s="2" t="s">
        <v>189</v>
      </c>
      <c r="D404" t="s">
        <v>114</v>
      </c>
    </row>
    <row r="405" spans="1:4" x14ac:dyDescent="0.25">
      <c r="A405">
        <v>38</v>
      </c>
      <c r="B405" t="s">
        <v>192</v>
      </c>
      <c r="C405" s="2" t="s">
        <v>218</v>
      </c>
      <c r="D405" t="s">
        <v>114</v>
      </c>
    </row>
    <row r="406" spans="1:4" x14ac:dyDescent="0.25">
      <c r="A406">
        <v>38</v>
      </c>
      <c r="B406" t="s">
        <v>41</v>
      </c>
      <c r="C406" s="2" t="s">
        <v>132</v>
      </c>
      <c r="D406" t="s">
        <v>114</v>
      </c>
    </row>
    <row r="407" spans="1:4" x14ac:dyDescent="0.25">
      <c r="A407">
        <v>38</v>
      </c>
      <c r="B407" t="s">
        <v>41</v>
      </c>
      <c r="C407" s="2" t="s">
        <v>125</v>
      </c>
      <c r="D407" t="s">
        <v>114</v>
      </c>
    </row>
    <row r="408" spans="1:4" x14ac:dyDescent="0.25">
      <c r="A408">
        <v>93</v>
      </c>
      <c r="B408" t="s">
        <v>264</v>
      </c>
      <c r="C408" s="2" t="s">
        <v>50</v>
      </c>
      <c r="D408" t="s">
        <v>114</v>
      </c>
    </row>
    <row r="409" spans="1:4" x14ac:dyDescent="0.25">
      <c r="A409">
        <v>93</v>
      </c>
      <c r="B409" t="s">
        <v>264</v>
      </c>
      <c r="C409" s="2" t="s">
        <v>51</v>
      </c>
      <c r="D409" t="s">
        <v>114</v>
      </c>
    </row>
    <row r="410" spans="1:4" x14ac:dyDescent="0.25">
      <c r="A410">
        <v>93</v>
      </c>
      <c r="B410" t="s">
        <v>205</v>
      </c>
      <c r="C410" s="2" t="s">
        <v>125</v>
      </c>
      <c r="D410" t="s">
        <v>115</v>
      </c>
    </row>
    <row r="411" spans="1:4" x14ac:dyDescent="0.25">
      <c r="A411">
        <v>93</v>
      </c>
      <c r="B411" t="s">
        <v>41</v>
      </c>
      <c r="C411" s="2" t="s">
        <v>54</v>
      </c>
      <c r="D411" t="s">
        <v>114</v>
      </c>
    </row>
    <row r="412" spans="1:4" x14ac:dyDescent="0.25">
      <c r="A412">
        <v>93</v>
      </c>
      <c r="B412" t="s">
        <v>41</v>
      </c>
      <c r="C412" s="2" t="s">
        <v>55</v>
      </c>
      <c r="D412" t="s">
        <v>114</v>
      </c>
    </row>
    <row r="413" spans="1:4" x14ac:dyDescent="0.25">
      <c r="A413">
        <v>495</v>
      </c>
      <c r="B413" t="s">
        <v>192</v>
      </c>
      <c r="C413" s="2" t="s">
        <v>189</v>
      </c>
      <c r="D413" t="s">
        <v>115</v>
      </c>
    </row>
    <row r="414" spans="1:4" x14ac:dyDescent="0.25">
      <c r="A414">
        <v>495</v>
      </c>
      <c r="B414" t="s">
        <v>192</v>
      </c>
      <c r="C414" s="2" t="s">
        <v>218</v>
      </c>
      <c r="D414" t="s">
        <v>115</v>
      </c>
    </row>
    <row r="415" spans="1:4" x14ac:dyDescent="0.25">
      <c r="A415">
        <v>495</v>
      </c>
      <c r="B415" t="s">
        <v>7</v>
      </c>
      <c r="C415" s="2" t="s">
        <v>137</v>
      </c>
      <c r="D415" t="s">
        <v>115</v>
      </c>
    </row>
    <row r="416" spans="1:4" x14ac:dyDescent="0.25">
      <c r="A416">
        <v>495</v>
      </c>
      <c r="B416" t="s">
        <v>7</v>
      </c>
      <c r="C416" s="2" t="s">
        <v>132</v>
      </c>
      <c r="D416" t="s">
        <v>115</v>
      </c>
    </row>
    <row r="417" spans="1:4" x14ac:dyDescent="0.25">
      <c r="A417">
        <v>39</v>
      </c>
      <c r="B417" t="s">
        <v>192</v>
      </c>
      <c r="C417" s="2" t="s">
        <v>50</v>
      </c>
      <c r="D417" t="s">
        <v>114</v>
      </c>
    </row>
    <row r="418" spans="1:4" x14ac:dyDescent="0.25">
      <c r="A418">
        <v>39</v>
      </c>
      <c r="B418" t="s">
        <v>192</v>
      </c>
      <c r="C418" s="2" t="s">
        <v>51</v>
      </c>
      <c r="D418" t="s">
        <v>114</v>
      </c>
    </row>
    <row r="419" spans="1:4" x14ac:dyDescent="0.25">
      <c r="A419">
        <v>39</v>
      </c>
      <c r="B419" t="s">
        <v>7</v>
      </c>
      <c r="C419" s="2" t="s">
        <v>125</v>
      </c>
      <c r="D419" t="s">
        <v>114</v>
      </c>
    </row>
    <row r="420" spans="1:4" x14ac:dyDescent="0.25">
      <c r="A420">
        <v>39</v>
      </c>
      <c r="B420" t="s">
        <v>7</v>
      </c>
      <c r="C420" s="2" t="s">
        <v>54</v>
      </c>
      <c r="D420" t="s">
        <v>114</v>
      </c>
    </row>
    <row r="421" spans="1:4" x14ac:dyDescent="0.25">
      <c r="A421">
        <v>553</v>
      </c>
      <c r="B421" t="s">
        <v>65</v>
      </c>
      <c r="C421" s="2" t="s">
        <v>188</v>
      </c>
      <c r="D421" t="s">
        <v>114</v>
      </c>
    </row>
    <row r="422" spans="1:4" x14ac:dyDescent="0.25">
      <c r="A422">
        <v>553</v>
      </c>
      <c r="B422" t="s">
        <v>65</v>
      </c>
      <c r="C422" s="2" t="s">
        <v>189</v>
      </c>
      <c r="D422" t="s">
        <v>114</v>
      </c>
    </row>
    <row r="423" spans="1:4" x14ac:dyDescent="0.25">
      <c r="A423">
        <v>553</v>
      </c>
      <c r="B423" t="s">
        <v>65</v>
      </c>
      <c r="C423" s="2" t="s">
        <v>218</v>
      </c>
      <c r="D423" t="s">
        <v>114</v>
      </c>
    </row>
    <row r="424" spans="1:4" x14ac:dyDescent="0.25">
      <c r="A424">
        <v>553</v>
      </c>
      <c r="B424" t="s">
        <v>65</v>
      </c>
      <c r="C424" s="2" t="s">
        <v>54</v>
      </c>
      <c r="D424" t="s">
        <v>114</v>
      </c>
    </row>
    <row r="425" spans="1:4" x14ac:dyDescent="0.25">
      <c r="A425">
        <v>553</v>
      </c>
      <c r="B425" t="s">
        <v>65</v>
      </c>
      <c r="C425" s="2" t="s">
        <v>55</v>
      </c>
      <c r="D425" t="s">
        <v>114</v>
      </c>
    </row>
    <row r="426" spans="1:4" x14ac:dyDescent="0.25">
      <c r="A426">
        <v>386</v>
      </c>
      <c r="B426" t="s">
        <v>25</v>
      </c>
      <c r="C426" s="2" t="s">
        <v>187</v>
      </c>
      <c r="D426" t="s">
        <v>114</v>
      </c>
    </row>
    <row r="427" spans="1:4" x14ac:dyDescent="0.25">
      <c r="A427">
        <v>386</v>
      </c>
      <c r="B427" t="s">
        <v>25</v>
      </c>
      <c r="C427" s="2" t="s">
        <v>124</v>
      </c>
      <c r="D427" t="s">
        <v>114</v>
      </c>
    </row>
    <row r="428" spans="1:4" x14ac:dyDescent="0.25">
      <c r="A428">
        <v>386</v>
      </c>
      <c r="B428" t="s">
        <v>65</v>
      </c>
      <c r="C428" s="2" t="s">
        <v>51</v>
      </c>
      <c r="D428" t="s">
        <v>114</v>
      </c>
    </row>
    <row r="429" spans="1:4" x14ac:dyDescent="0.25">
      <c r="A429">
        <v>386</v>
      </c>
      <c r="B429" t="s">
        <v>195</v>
      </c>
      <c r="C429" s="2" t="s">
        <v>137</v>
      </c>
      <c r="D429" t="s">
        <v>114</v>
      </c>
    </row>
    <row r="430" spans="1:4" x14ac:dyDescent="0.25">
      <c r="A430">
        <v>386</v>
      </c>
      <c r="B430" t="s">
        <v>65</v>
      </c>
      <c r="C430" s="2" t="s">
        <v>132</v>
      </c>
      <c r="D430" t="s">
        <v>114</v>
      </c>
    </row>
    <row r="431" spans="1:4" x14ac:dyDescent="0.25">
      <c r="A431">
        <v>99</v>
      </c>
      <c r="B431" t="s">
        <v>128</v>
      </c>
      <c r="C431" s="2" t="s">
        <v>187</v>
      </c>
      <c r="D431" t="s">
        <v>114</v>
      </c>
    </row>
    <row r="432" spans="1:4" x14ac:dyDescent="0.25">
      <c r="A432">
        <v>99</v>
      </c>
      <c r="B432" t="s">
        <v>34</v>
      </c>
      <c r="C432" s="2" t="s">
        <v>51</v>
      </c>
      <c r="D432" t="s">
        <v>114</v>
      </c>
    </row>
    <row r="433" spans="1:4" x14ac:dyDescent="0.25">
      <c r="A433">
        <v>99</v>
      </c>
      <c r="B433" t="s">
        <v>34</v>
      </c>
      <c r="C433" s="2" t="s">
        <v>137</v>
      </c>
      <c r="D433" t="s">
        <v>114</v>
      </c>
    </row>
    <row r="434" spans="1:4" x14ac:dyDescent="0.25">
      <c r="A434">
        <v>99</v>
      </c>
      <c r="B434" t="s">
        <v>41</v>
      </c>
      <c r="C434" s="2" t="s">
        <v>54</v>
      </c>
      <c r="D434" t="s">
        <v>115</v>
      </c>
    </row>
    <row r="435" spans="1:4" x14ac:dyDescent="0.25">
      <c r="A435">
        <v>99</v>
      </c>
      <c r="B435" t="s">
        <v>41</v>
      </c>
      <c r="C435" s="2" t="s">
        <v>55</v>
      </c>
      <c r="D435" t="s">
        <v>115</v>
      </c>
    </row>
    <row r="436" spans="1:4" x14ac:dyDescent="0.25">
      <c r="A436">
        <v>509</v>
      </c>
      <c r="B436" t="s">
        <v>192</v>
      </c>
      <c r="C436" s="2" t="s">
        <v>137</v>
      </c>
      <c r="D436" t="s">
        <v>114</v>
      </c>
    </row>
    <row r="437" spans="1:4" x14ac:dyDescent="0.25">
      <c r="A437">
        <v>509</v>
      </c>
      <c r="B437" t="s">
        <v>192</v>
      </c>
      <c r="C437" s="2" t="s">
        <v>132</v>
      </c>
      <c r="D437" t="s">
        <v>114</v>
      </c>
    </row>
    <row r="438" spans="1:4" x14ac:dyDescent="0.25">
      <c r="A438">
        <v>509</v>
      </c>
      <c r="B438" t="s">
        <v>41</v>
      </c>
      <c r="C438" s="2" t="s">
        <v>138</v>
      </c>
      <c r="D438" t="s">
        <v>114</v>
      </c>
    </row>
    <row r="439" spans="1:4" x14ac:dyDescent="0.25">
      <c r="A439">
        <v>509</v>
      </c>
      <c r="B439" t="s">
        <v>41</v>
      </c>
      <c r="C439" s="2" t="s">
        <v>133</v>
      </c>
      <c r="D439" t="s">
        <v>114</v>
      </c>
    </row>
    <row r="440" spans="1:4" x14ac:dyDescent="0.25">
      <c r="A440">
        <v>45</v>
      </c>
      <c r="B440" t="s">
        <v>34</v>
      </c>
      <c r="C440" s="2" t="s">
        <v>132</v>
      </c>
      <c r="D440" t="s">
        <v>114</v>
      </c>
    </row>
    <row r="441" spans="1:4" x14ac:dyDescent="0.25">
      <c r="A441">
        <v>45</v>
      </c>
      <c r="B441" t="s">
        <v>7</v>
      </c>
      <c r="C441" s="2" t="s">
        <v>125</v>
      </c>
      <c r="D441" t="s">
        <v>115</v>
      </c>
    </row>
    <row r="442" spans="1:4" x14ac:dyDescent="0.25">
      <c r="A442">
        <v>45</v>
      </c>
      <c r="B442" t="s">
        <v>7</v>
      </c>
      <c r="C442" s="2" t="s">
        <v>54</v>
      </c>
      <c r="D442" t="s">
        <v>115</v>
      </c>
    </row>
    <row r="443" spans="1:4" x14ac:dyDescent="0.25">
      <c r="A443">
        <v>45</v>
      </c>
      <c r="B443" t="s">
        <v>41</v>
      </c>
      <c r="C443" s="2" t="s">
        <v>138</v>
      </c>
      <c r="D443" t="s">
        <v>115</v>
      </c>
    </row>
    <row r="444" spans="1:4" x14ac:dyDescent="0.25">
      <c r="A444">
        <v>499</v>
      </c>
      <c r="B444" t="s">
        <v>198</v>
      </c>
      <c r="C444" s="2" t="s">
        <v>46</v>
      </c>
      <c r="D444" t="s">
        <v>114</v>
      </c>
    </row>
    <row r="445" spans="1:4" x14ac:dyDescent="0.25">
      <c r="A445">
        <v>499</v>
      </c>
      <c r="B445" t="s">
        <v>198</v>
      </c>
      <c r="C445" s="2" t="s">
        <v>47</v>
      </c>
      <c r="D445" t="s">
        <v>114</v>
      </c>
    </row>
    <row r="446" spans="1:4" x14ac:dyDescent="0.25">
      <c r="A446">
        <v>499</v>
      </c>
      <c r="B446" t="s">
        <v>192</v>
      </c>
      <c r="C446" s="2" t="s">
        <v>137</v>
      </c>
      <c r="D446" t="s">
        <v>115</v>
      </c>
    </row>
    <row r="447" spans="1:4" x14ac:dyDescent="0.25">
      <c r="A447">
        <v>499</v>
      </c>
      <c r="B447" t="s">
        <v>192</v>
      </c>
      <c r="C447" s="2" t="s">
        <v>132</v>
      </c>
      <c r="D447" t="s">
        <v>115</v>
      </c>
    </row>
    <row r="448" spans="1:4" x14ac:dyDescent="0.25">
      <c r="A448">
        <v>318</v>
      </c>
      <c r="B448" t="s">
        <v>41</v>
      </c>
      <c r="C448" s="2" t="s">
        <v>218</v>
      </c>
      <c r="D448" t="s">
        <v>115</v>
      </c>
    </row>
    <row r="449" spans="1:4" x14ac:dyDescent="0.25">
      <c r="A449">
        <v>318</v>
      </c>
      <c r="B449" t="s">
        <v>63</v>
      </c>
      <c r="C449" s="2" t="s">
        <v>137</v>
      </c>
      <c r="D449" t="s">
        <v>114</v>
      </c>
    </row>
    <row r="450" spans="1:4" x14ac:dyDescent="0.25">
      <c r="A450">
        <v>318</v>
      </c>
      <c r="B450" t="s">
        <v>63</v>
      </c>
      <c r="C450" s="2" t="s">
        <v>55</v>
      </c>
      <c r="D450" t="s">
        <v>114</v>
      </c>
    </row>
    <row r="451" spans="1:4" x14ac:dyDescent="0.25">
      <c r="A451">
        <v>318</v>
      </c>
      <c r="B451" t="s">
        <v>63</v>
      </c>
      <c r="C451" s="2" t="s">
        <v>133</v>
      </c>
      <c r="D451" t="s">
        <v>114</v>
      </c>
    </row>
    <row r="452" spans="1:4" x14ac:dyDescent="0.25">
      <c r="A452">
        <v>396</v>
      </c>
      <c r="B452" t="s">
        <v>143</v>
      </c>
      <c r="C452" s="2" t="s">
        <v>51</v>
      </c>
      <c r="D452" t="s">
        <v>114</v>
      </c>
    </row>
    <row r="453" spans="1:4" x14ac:dyDescent="0.25">
      <c r="A453">
        <v>396</v>
      </c>
      <c r="B453" t="s">
        <v>192</v>
      </c>
      <c r="C453" s="2" t="s">
        <v>125</v>
      </c>
      <c r="D453" t="s">
        <v>114</v>
      </c>
    </row>
    <row r="454" spans="1:4" x14ac:dyDescent="0.25">
      <c r="A454">
        <v>396</v>
      </c>
      <c r="B454" t="s">
        <v>192</v>
      </c>
      <c r="C454" s="2" t="s">
        <v>54</v>
      </c>
      <c r="D454" t="s">
        <v>114</v>
      </c>
    </row>
    <row r="455" spans="1:4" x14ac:dyDescent="0.25">
      <c r="A455">
        <v>396</v>
      </c>
      <c r="B455" t="s">
        <v>221</v>
      </c>
      <c r="C455" s="2" t="s">
        <v>133</v>
      </c>
      <c r="D455" t="s">
        <v>114</v>
      </c>
    </row>
    <row r="456" spans="1:4" x14ac:dyDescent="0.25">
      <c r="A456">
        <v>47</v>
      </c>
      <c r="B456" t="s">
        <v>198</v>
      </c>
      <c r="C456" s="2" t="s">
        <v>188</v>
      </c>
      <c r="D456" t="s">
        <v>114</v>
      </c>
    </row>
    <row r="457" spans="1:4" x14ac:dyDescent="0.25">
      <c r="A457">
        <v>47</v>
      </c>
      <c r="B457" t="s">
        <v>198</v>
      </c>
      <c r="C457" s="2" t="s">
        <v>189</v>
      </c>
      <c r="D457" t="s">
        <v>114</v>
      </c>
    </row>
    <row r="458" spans="1:4" x14ac:dyDescent="0.25">
      <c r="A458">
        <v>47</v>
      </c>
      <c r="B458" t="s">
        <v>192</v>
      </c>
      <c r="C458" s="2" t="s">
        <v>125</v>
      </c>
      <c r="D458" t="s">
        <v>115</v>
      </c>
    </row>
    <row r="459" spans="1:4" x14ac:dyDescent="0.25">
      <c r="A459">
        <v>47</v>
      </c>
      <c r="B459" t="s">
        <v>192</v>
      </c>
      <c r="C459" s="2" t="s">
        <v>54</v>
      </c>
      <c r="D459" t="s">
        <v>115</v>
      </c>
    </row>
    <row r="460" spans="1:4" x14ac:dyDescent="0.25">
      <c r="A460">
        <v>500</v>
      </c>
      <c r="B460" t="s">
        <v>205</v>
      </c>
      <c r="C460" s="2" t="s">
        <v>132</v>
      </c>
      <c r="D460" t="s">
        <v>114</v>
      </c>
    </row>
    <row r="461" spans="1:4" x14ac:dyDescent="0.25">
      <c r="A461">
        <v>500</v>
      </c>
      <c r="B461" t="s">
        <v>205</v>
      </c>
      <c r="C461" s="2" t="s">
        <v>125</v>
      </c>
      <c r="D461" t="s">
        <v>114</v>
      </c>
    </row>
    <row r="462" spans="1:4" x14ac:dyDescent="0.25">
      <c r="A462">
        <v>500</v>
      </c>
      <c r="B462" t="s">
        <v>256</v>
      </c>
      <c r="C462" s="2" t="s">
        <v>138</v>
      </c>
      <c r="D462" t="s">
        <v>114</v>
      </c>
    </row>
    <row r="463" spans="1:4" x14ac:dyDescent="0.25">
      <c r="A463">
        <v>500</v>
      </c>
      <c r="B463" t="s">
        <v>256</v>
      </c>
      <c r="C463" s="2" t="s">
        <v>133</v>
      </c>
      <c r="D463" t="s">
        <v>114</v>
      </c>
    </row>
    <row r="464" spans="1:4" x14ac:dyDescent="0.25">
      <c r="A464">
        <v>558</v>
      </c>
      <c r="B464" t="s">
        <v>198</v>
      </c>
      <c r="C464" s="2" t="s">
        <v>188</v>
      </c>
      <c r="D464" t="s">
        <v>115</v>
      </c>
    </row>
    <row r="465" spans="1:4" x14ac:dyDescent="0.25">
      <c r="A465">
        <v>558</v>
      </c>
      <c r="B465" t="s">
        <v>198</v>
      </c>
      <c r="C465" s="2" t="s">
        <v>189</v>
      </c>
      <c r="D465" t="s">
        <v>115</v>
      </c>
    </row>
    <row r="466" spans="1:4" x14ac:dyDescent="0.25">
      <c r="A466">
        <v>558</v>
      </c>
      <c r="B466" t="s">
        <v>205</v>
      </c>
      <c r="C466" s="2" t="s">
        <v>132</v>
      </c>
      <c r="D466" t="s">
        <v>115</v>
      </c>
    </row>
    <row r="467" spans="1:4" x14ac:dyDescent="0.25">
      <c r="A467">
        <v>231</v>
      </c>
      <c r="B467" t="s">
        <v>198</v>
      </c>
      <c r="C467" s="2" t="s">
        <v>218</v>
      </c>
      <c r="D467" t="s">
        <v>114</v>
      </c>
    </row>
    <row r="468" spans="1:4" x14ac:dyDescent="0.25">
      <c r="A468">
        <v>231</v>
      </c>
      <c r="B468" t="s">
        <v>7</v>
      </c>
      <c r="C468" s="2" t="s">
        <v>51</v>
      </c>
      <c r="D468" t="s">
        <v>114</v>
      </c>
    </row>
    <row r="469" spans="1:4" x14ac:dyDescent="0.25">
      <c r="A469">
        <v>231</v>
      </c>
      <c r="B469" t="s">
        <v>205</v>
      </c>
      <c r="C469" s="2" t="s">
        <v>54</v>
      </c>
      <c r="D469" t="s">
        <v>114</v>
      </c>
    </row>
    <row r="470" spans="1:4" x14ac:dyDescent="0.25">
      <c r="A470">
        <v>231</v>
      </c>
      <c r="B470" t="s">
        <v>205</v>
      </c>
      <c r="C470" s="2" t="s">
        <v>55</v>
      </c>
      <c r="D470" t="s">
        <v>114</v>
      </c>
    </row>
    <row r="471" spans="1:4" x14ac:dyDescent="0.25">
      <c r="A471">
        <v>115</v>
      </c>
      <c r="B471" t="s">
        <v>202</v>
      </c>
      <c r="C471" s="2" t="s">
        <v>124</v>
      </c>
      <c r="D471" t="s">
        <v>114</v>
      </c>
    </row>
    <row r="472" spans="1:4" x14ac:dyDescent="0.25">
      <c r="A472">
        <v>115</v>
      </c>
      <c r="B472" t="s">
        <v>237</v>
      </c>
      <c r="C472" s="2" t="s">
        <v>188</v>
      </c>
      <c r="D472" t="s">
        <v>114</v>
      </c>
    </row>
    <row r="473" spans="1:4" x14ac:dyDescent="0.25">
      <c r="A473">
        <v>115</v>
      </c>
      <c r="B473" t="s">
        <v>198</v>
      </c>
      <c r="C473" s="2" t="s">
        <v>218</v>
      </c>
      <c r="D473" t="s">
        <v>115</v>
      </c>
    </row>
    <row r="474" spans="1:4" x14ac:dyDescent="0.25">
      <c r="A474">
        <v>115</v>
      </c>
      <c r="B474" t="s">
        <v>194</v>
      </c>
      <c r="C474" s="2" t="s">
        <v>55</v>
      </c>
      <c r="D474" t="s">
        <v>114</v>
      </c>
    </row>
    <row r="475" spans="1:4" x14ac:dyDescent="0.25">
      <c r="A475">
        <v>115</v>
      </c>
      <c r="B475" t="s">
        <v>194</v>
      </c>
      <c r="C475" s="2" t="s">
        <v>138</v>
      </c>
      <c r="D475" t="s">
        <v>114</v>
      </c>
    </row>
    <row r="476" spans="1:4" x14ac:dyDescent="0.25">
      <c r="A476">
        <v>50</v>
      </c>
      <c r="B476" t="s">
        <v>208</v>
      </c>
      <c r="C476" s="2" t="s">
        <v>46</v>
      </c>
      <c r="D476" t="s">
        <v>115</v>
      </c>
    </row>
    <row r="477" spans="1:4" x14ac:dyDescent="0.25">
      <c r="A477">
        <v>50</v>
      </c>
      <c r="B477" t="s">
        <v>208</v>
      </c>
      <c r="C477" s="2" t="s">
        <v>47</v>
      </c>
      <c r="D477" t="s">
        <v>115</v>
      </c>
    </row>
    <row r="478" spans="1:4" x14ac:dyDescent="0.25">
      <c r="A478">
        <v>50</v>
      </c>
      <c r="B478" t="s">
        <v>205</v>
      </c>
      <c r="C478" s="2" t="s">
        <v>138</v>
      </c>
      <c r="D478" t="s">
        <v>114</v>
      </c>
    </row>
    <row r="479" spans="1:4" x14ac:dyDescent="0.25">
      <c r="A479">
        <v>50</v>
      </c>
      <c r="B479" t="s">
        <v>205</v>
      </c>
      <c r="C479" s="2" t="s">
        <v>133</v>
      </c>
      <c r="D479" t="s">
        <v>114</v>
      </c>
    </row>
    <row r="480" spans="1:4" x14ac:dyDescent="0.25">
      <c r="A480">
        <v>51</v>
      </c>
      <c r="B480" t="s">
        <v>128</v>
      </c>
      <c r="C480" s="2" t="s">
        <v>54</v>
      </c>
      <c r="D480" t="s">
        <v>115</v>
      </c>
    </row>
    <row r="481" spans="1:4" x14ac:dyDescent="0.25">
      <c r="A481">
        <v>51</v>
      </c>
      <c r="B481" t="s">
        <v>128</v>
      </c>
      <c r="C481" s="2" t="s">
        <v>55</v>
      </c>
      <c r="D481" t="s">
        <v>115</v>
      </c>
    </row>
    <row r="482" spans="1:4" x14ac:dyDescent="0.25">
      <c r="A482">
        <v>51</v>
      </c>
      <c r="B482" t="s">
        <v>205</v>
      </c>
      <c r="C482" s="2" t="s">
        <v>138</v>
      </c>
      <c r="D482" t="s">
        <v>115</v>
      </c>
    </row>
    <row r="483" spans="1:4" x14ac:dyDescent="0.25">
      <c r="A483">
        <v>51</v>
      </c>
      <c r="B483" t="s">
        <v>205</v>
      </c>
      <c r="C483" s="2" t="s">
        <v>133</v>
      </c>
      <c r="D483" t="s">
        <v>115</v>
      </c>
    </row>
    <row r="484" spans="1:4" x14ac:dyDescent="0.25">
      <c r="A484">
        <v>399</v>
      </c>
      <c r="B484" t="s">
        <v>208</v>
      </c>
      <c r="C484" s="2" t="s">
        <v>46</v>
      </c>
      <c r="D484" t="s">
        <v>114</v>
      </c>
    </row>
    <row r="485" spans="1:4" x14ac:dyDescent="0.25">
      <c r="A485">
        <v>399</v>
      </c>
      <c r="B485" t="s">
        <v>208</v>
      </c>
      <c r="C485" s="2" t="s">
        <v>47</v>
      </c>
      <c r="D485" t="s">
        <v>114</v>
      </c>
    </row>
    <row r="486" spans="1:4" x14ac:dyDescent="0.25">
      <c r="A486">
        <v>399</v>
      </c>
      <c r="B486" t="s">
        <v>192</v>
      </c>
      <c r="C486" s="2" t="s">
        <v>51</v>
      </c>
      <c r="D486" t="s">
        <v>115</v>
      </c>
    </row>
    <row r="487" spans="1:4" x14ac:dyDescent="0.25">
      <c r="A487">
        <v>399</v>
      </c>
      <c r="B487" t="s">
        <v>260</v>
      </c>
      <c r="C487" s="2" t="s">
        <v>138</v>
      </c>
      <c r="D487" t="s">
        <v>114</v>
      </c>
    </row>
    <row r="488" spans="1:4" x14ac:dyDescent="0.25">
      <c r="A488">
        <v>399</v>
      </c>
      <c r="B488" t="s">
        <v>260</v>
      </c>
      <c r="C488" s="2" t="s">
        <v>133</v>
      </c>
      <c r="D488" t="s">
        <v>114</v>
      </c>
    </row>
    <row r="489" spans="1:4" x14ac:dyDescent="0.25">
      <c r="A489">
        <v>53</v>
      </c>
      <c r="B489" t="s">
        <v>30</v>
      </c>
      <c r="C489" s="2" t="s">
        <v>187</v>
      </c>
      <c r="D489" t="s">
        <v>114</v>
      </c>
    </row>
    <row r="490" spans="1:4" x14ac:dyDescent="0.25">
      <c r="A490">
        <v>53</v>
      </c>
      <c r="B490" t="s">
        <v>30</v>
      </c>
      <c r="C490" s="2" t="s">
        <v>124</v>
      </c>
      <c r="D490" t="s">
        <v>114</v>
      </c>
    </row>
    <row r="491" spans="1:4" x14ac:dyDescent="0.25">
      <c r="A491">
        <v>53</v>
      </c>
      <c r="B491" t="s">
        <v>25</v>
      </c>
      <c r="C491" s="2" t="s">
        <v>46</v>
      </c>
      <c r="D491" t="s">
        <v>115</v>
      </c>
    </row>
    <row r="492" spans="1:4" x14ac:dyDescent="0.25">
      <c r="A492">
        <v>53</v>
      </c>
      <c r="B492" t="s">
        <v>195</v>
      </c>
      <c r="C492" s="2" t="s">
        <v>50</v>
      </c>
      <c r="D492" t="s">
        <v>114</v>
      </c>
    </row>
    <row r="493" spans="1:4" x14ac:dyDescent="0.25">
      <c r="A493">
        <v>53</v>
      </c>
      <c r="B493" t="s">
        <v>195</v>
      </c>
      <c r="C493" s="2" t="s">
        <v>51</v>
      </c>
      <c r="D493" t="s">
        <v>114</v>
      </c>
    </row>
    <row r="494" spans="1:4" x14ac:dyDescent="0.25">
      <c r="A494">
        <v>268</v>
      </c>
      <c r="B494" t="s">
        <v>223</v>
      </c>
      <c r="C494" s="2" t="s">
        <v>187</v>
      </c>
      <c r="D494" t="s">
        <v>115</v>
      </c>
    </row>
    <row r="495" spans="1:4" x14ac:dyDescent="0.25">
      <c r="A495">
        <v>268</v>
      </c>
      <c r="B495" t="s">
        <v>223</v>
      </c>
      <c r="C495" s="2" t="s">
        <v>124</v>
      </c>
      <c r="D495" t="s">
        <v>115</v>
      </c>
    </row>
    <row r="496" spans="1:4" x14ac:dyDescent="0.25">
      <c r="A496">
        <v>268</v>
      </c>
      <c r="B496" t="s">
        <v>24</v>
      </c>
      <c r="C496" s="2" t="s">
        <v>50</v>
      </c>
      <c r="D496" t="s">
        <v>114</v>
      </c>
    </row>
    <row r="497" spans="1:4" x14ac:dyDescent="0.25">
      <c r="A497">
        <v>268</v>
      </c>
      <c r="B497" t="s">
        <v>24</v>
      </c>
      <c r="C497" s="2" t="s">
        <v>51</v>
      </c>
      <c r="D497" t="s">
        <v>114</v>
      </c>
    </row>
    <row r="498" spans="1:4" x14ac:dyDescent="0.25">
      <c r="A498">
        <v>268</v>
      </c>
      <c r="B498" t="s">
        <v>24</v>
      </c>
      <c r="C498" s="2" t="s">
        <v>137</v>
      </c>
      <c r="D498" t="s">
        <v>114</v>
      </c>
    </row>
    <row r="499" spans="1:4" x14ac:dyDescent="0.25">
      <c r="A499">
        <v>54</v>
      </c>
      <c r="B499" t="s">
        <v>208</v>
      </c>
      <c r="C499" s="2" t="s">
        <v>187</v>
      </c>
      <c r="D499" t="s">
        <v>114</v>
      </c>
    </row>
    <row r="500" spans="1:4" x14ac:dyDescent="0.25">
      <c r="A500">
        <v>54</v>
      </c>
      <c r="B500" t="s">
        <v>208</v>
      </c>
      <c r="C500" s="2" t="s">
        <v>124</v>
      </c>
      <c r="D500" t="s">
        <v>114</v>
      </c>
    </row>
    <row r="501" spans="1:4" x14ac:dyDescent="0.25">
      <c r="A501">
        <v>54</v>
      </c>
      <c r="B501" t="s">
        <v>260</v>
      </c>
      <c r="C501" s="2" t="s">
        <v>55</v>
      </c>
      <c r="D501" t="s">
        <v>114</v>
      </c>
    </row>
    <row r="502" spans="1:4" x14ac:dyDescent="0.25">
      <c r="A502">
        <v>54</v>
      </c>
      <c r="B502" t="s">
        <v>194</v>
      </c>
      <c r="C502" s="2" t="s">
        <v>133</v>
      </c>
      <c r="D502" t="s">
        <v>114</v>
      </c>
    </row>
    <row r="503" spans="1:4" x14ac:dyDescent="0.25">
      <c r="A503">
        <v>56</v>
      </c>
      <c r="B503" t="s">
        <v>202</v>
      </c>
      <c r="C503" s="2" t="s">
        <v>187</v>
      </c>
      <c r="D503" t="s">
        <v>114</v>
      </c>
    </row>
    <row r="504" spans="1:4" x14ac:dyDescent="0.25">
      <c r="A504">
        <v>56</v>
      </c>
      <c r="B504" t="s">
        <v>143</v>
      </c>
      <c r="C504" s="2" t="s">
        <v>50</v>
      </c>
      <c r="D504" t="s">
        <v>114</v>
      </c>
    </row>
    <row r="505" spans="1:4" x14ac:dyDescent="0.25">
      <c r="A505">
        <v>56</v>
      </c>
      <c r="B505" t="s">
        <v>221</v>
      </c>
      <c r="C505" s="2" t="s">
        <v>138</v>
      </c>
      <c r="D505" t="s">
        <v>114</v>
      </c>
    </row>
    <row r="506" spans="1:4" x14ac:dyDescent="0.25">
      <c r="A506">
        <v>562</v>
      </c>
      <c r="B506" t="s">
        <v>237</v>
      </c>
      <c r="C506" s="2" t="s">
        <v>187</v>
      </c>
      <c r="D506" t="s">
        <v>114</v>
      </c>
    </row>
    <row r="507" spans="1:4" x14ac:dyDescent="0.25">
      <c r="A507">
        <v>562</v>
      </c>
      <c r="B507" t="s">
        <v>237</v>
      </c>
      <c r="C507" s="2" t="s">
        <v>124</v>
      </c>
      <c r="D507" t="s">
        <v>114</v>
      </c>
    </row>
    <row r="508" spans="1:4" x14ac:dyDescent="0.25">
      <c r="A508">
        <v>562</v>
      </c>
      <c r="B508" t="s">
        <v>221</v>
      </c>
      <c r="C508" s="2" t="s">
        <v>138</v>
      </c>
      <c r="D508" t="s">
        <v>115</v>
      </c>
    </row>
    <row r="509" spans="1:4" x14ac:dyDescent="0.25">
      <c r="A509">
        <v>562</v>
      </c>
      <c r="B509" t="s">
        <v>221</v>
      </c>
      <c r="C509" s="2" t="s">
        <v>133</v>
      </c>
      <c r="D509" t="s">
        <v>115</v>
      </c>
    </row>
    <row r="510" spans="1:4" x14ac:dyDescent="0.25">
      <c r="A510">
        <v>304</v>
      </c>
      <c r="B510" t="s">
        <v>30</v>
      </c>
      <c r="C510" s="2" t="s">
        <v>46</v>
      </c>
      <c r="D510" t="s">
        <v>114</v>
      </c>
    </row>
    <row r="511" spans="1:4" x14ac:dyDescent="0.25">
      <c r="A511">
        <v>304</v>
      </c>
      <c r="B511" t="s">
        <v>30</v>
      </c>
      <c r="C511" s="2" t="s">
        <v>47</v>
      </c>
      <c r="D511" t="s">
        <v>114</v>
      </c>
    </row>
    <row r="512" spans="1:4" x14ac:dyDescent="0.25">
      <c r="A512">
        <v>304</v>
      </c>
      <c r="B512" t="s">
        <v>195</v>
      </c>
      <c r="C512" s="2" t="s">
        <v>189</v>
      </c>
      <c r="D512" t="s">
        <v>114</v>
      </c>
    </row>
    <row r="513" spans="1:4" x14ac:dyDescent="0.25">
      <c r="A513">
        <v>304</v>
      </c>
      <c r="B513" t="s">
        <v>195</v>
      </c>
      <c r="C513" s="2" t="s">
        <v>218</v>
      </c>
      <c r="D513" t="s">
        <v>114</v>
      </c>
    </row>
    <row r="514" spans="1:4" x14ac:dyDescent="0.25">
      <c r="A514">
        <v>232</v>
      </c>
      <c r="B514" t="s">
        <v>237</v>
      </c>
      <c r="C514" s="2" t="s">
        <v>187</v>
      </c>
      <c r="D514" t="s">
        <v>115</v>
      </c>
    </row>
    <row r="515" spans="1:4" x14ac:dyDescent="0.25">
      <c r="A515">
        <v>232</v>
      </c>
      <c r="B515" t="s">
        <v>237</v>
      </c>
      <c r="C515" s="2" t="s">
        <v>124</v>
      </c>
      <c r="D515" t="s">
        <v>115</v>
      </c>
    </row>
    <row r="516" spans="1:4" x14ac:dyDescent="0.25">
      <c r="A516">
        <v>232</v>
      </c>
      <c r="B516" t="s">
        <v>205</v>
      </c>
      <c r="C516" s="2" t="s">
        <v>54</v>
      </c>
      <c r="D516" t="s">
        <v>115</v>
      </c>
    </row>
    <row r="517" spans="1:4" x14ac:dyDescent="0.25">
      <c r="A517">
        <v>232</v>
      </c>
      <c r="B517" t="s">
        <v>205</v>
      </c>
      <c r="C517" s="2" t="s">
        <v>55</v>
      </c>
      <c r="D517" t="s">
        <v>115</v>
      </c>
    </row>
    <row r="518" spans="1:4" x14ac:dyDescent="0.25">
      <c r="A518">
        <v>296</v>
      </c>
      <c r="B518" t="s">
        <v>223</v>
      </c>
      <c r="C518" s="2" t="s">
        <v>187</v>
      </c>
      <c r="D518" t="s">
        <v>114</v>
      </c>
    </row>
    <row r="519" spans="1:4" x14ac:dyDescent="0.25">
      <c r="A519">
        <v>296</v>
      </c>
      <c r="B519" t="s">
        <v>223</v>
      </c>
      <c r="C519" s="2" t="s">
        <v>124</v>
      </c>
      <c r="D519" t="s">
        <v>114</v>
      </c>
    </row>
    <row r="520" spans="1:4" x14ac:dyDescent="0.25">
      <c r="A520">
        <v>296</v>
      </c>
      <c r="B520" t="s">
        <v>223</v>
      </c>
      <c r="C520" s="2" t="s">
        <v>46</v>
      </c>
      <c r="D520" t="s">
        <v>114</v>
      </c>
    </row>
    <row r="521" spans="1:4" x14ac:dyDescent="0.25">
      <c r="A521">
        <v>296</v>
      </c>
      <c r="B521" t="s">
        <v>223</v>
      </c>
      <c r="C521" s="2" t="s">
        <v>47</v>
      </c>
      <c r="D521" t="s">
        <v>114</v>
      </c>
    </row>
    <row r="522" spans="1:4" x14ac:dyDescent="0.25">
      <c r="A522">
        <v>296</v>
      </c>
      <c r="B522" t="s">
        <v>194</v>
      </c>
      <c r="C522" s="2" t="s">
        <v>188</v>
      </c>
      <c r="D522" t="s">
        <v>114</v>
      </c>
    </row>
    <row r="523" spans="1:4" x14ac:dyDescent="0.25">
      <c r="A523">
        <v>129</v>
      </c>
      <c r="B523" t="s">
        <v>237</v>
      </c>
      <c r="C523" s="2" t="s">
        <v>46</v>
      </c>
      <c r="D523" t="s">
        <v>114</v>
      </c>
    </row>
    <row r="524" spans="1:4" x14ac:dyDescent="0.25">
      <c r="A524">
        <v>129</v>
      </c>
      <c r="B524" t="s">
        <v>237</v>
      </c>
      <c r="C524" s="2" t="s">
        <v>47</v>
      </c>
      <c r="D524" t="s">
        <v>114</v>
      </c>
    </row>
    <row r="525" spans="1:4" x14ac:dyDescent="0.25">
      <c r="A525">
        <v>129</v>
      </c>
      <c r="B525" t="s">
        <v>9</v>
      </c>
      <c r="C525" s="2" t="s">
        <v>188</v>
      </c>
      <c r="D525" t="s">
        <v>114</v>
      </c>
    </row>
    <row r="526" spans="1:4" x14ac:dyDescent="0.25">
      <c r="A526">
        <v>129</v>
      </c>
      <c r="B526" t="s">
        <v>9</v>
      </c>
      <c r="C526" s="2" t="s">
        <v>189</v>
      </c>
      <c r="D526" t="s">
        <v>114</v>
      </c>
    </row>
    <row r="527" spans="1:4" x14ac:dyDescent="0.25">
      <c r="A527">
        <v>384</v>
      </c>
      <c r="B527" t="s">
        <v>9</v>
      </c>
      <c r="C527" s="2" t="s">
        <v>218</v>
      </c>
      <c r="D527" t="s">
        <v>114</v>
      </c>
    </row>
    <row r="528" spans="1:4" x14ac:dyDescent="0.25">
      <c r="A528">
        <v>438</v>
      </c>
      <c r="B528" t="s">
        <v>128</v>
      </c>
      <c r="C528" s="2" t="s">
        <v>124</v>
      </c>
      <c r="D528" t="s">
        <v>114</v>
      </c>
    </row>
    <row r="529" spans="1:4" x14ac:dyDescent="0.25">
      <c r="A529">
        <v>438</v>
      </c>
      <c r="B529" t="s">
        <v>237</v>
      </c>
      <c r="C529" s="2" t="s">
        <v>46</v>
      </c>
      <c r="D529" t="s">
        <v>115</v>
      </c>
    </row>
    <row r="530" spans="1:4" x14ac:dyDescent="0.25">
      <c r="A530">
        <v>438</v>
      </c>
      <c r="B530" t="s">
        <v>237</v>
      </c>
      <c r="C530" s="2" t="s">
        <v>47</v>
      </c>
      <c r="D530" t="s">
        <v>115</v>
      </c>
    </row>
    <row r="531" spans="1:4" x14ac:dyDescent="0.25">
      <c r="A531">
        <v>438</v>
      </c>
      <c r="B531" t="s">
        <v>7</v>
      </c>
      <c r="C531" s="2" t="s">
        <v>137</v>
      </c>
      <c r="D531" t="s">
        <v>114</v>
      </c>
    </row>
    <row r="532" spans="1:4" x14ac:dyDescent="0.25">
      <c r="A532">
        <v>438</v>
      </c>
      <c r="B532" t="s">
        <v>7</v>
      </c>
      <c r="C532" s="2" t="s">
        <v>132</v>
      </c>
      <c r="D532" t="s">
        <v>114</v>
      </c>
    </row>
    <row r="533" spans="1:4" x14ac:dyDescent="0.25">
      <c r="A533">
        <v>504</v>
      </c>
      <c r="B533" t="s">
        <v>198</v>
      </c>
      <c r="C533" s="2" t="s">
        <v>46</v>
      </c>
      <c r="D533" t="s">
        <v>115</v>
      </c>
    </row>
    <row r="534" spans="1:4" x14ac:dyDescent="0.25">
      <c r="A534">
        <v>504</v>
      </c>
      <c r="B534" t="s">
        <v>141</v>
      </c>
      <c r="C534" s="2" t="s">
        <v>47</v>
      </c>
      <c r="D534" t="s">
        <v>114</v>
      </c>
    </row>
    <row r="535" spans="1:4" x14ac:dyDescent="0.25">
      <c r="A535">
        <v>504</v>
      </c>
      <c r="B535" t="s">
        <v>41</v>
      </c>
      <c r="C535" s="2" t="s">
        <v>50</v>
      </c>
      <c r="D535" t="s">
        <v>115</v>
      </c>
    </row>
  </sheetData>
  <pageMargins left="0.75" right="0.75" top="1" bottom="1" header="0.5" footer="0.5"/>
  <pageSetup paperSize="8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E4-2016</vt:lpstr>
      <vt:lpstr>Affectations</vt:lpstr>
      <vt:lpstr>convoc-candidats</vt:lpstr>
      <vt:lpstr>Etablissements</vt:lpstr>
      <vt:lpstr>SISR</vt:lpstr>
      <vt:lpstr>SLAM</vt:lpstr>
      <vt:lpstr>SI</vt:lpstr>
      <vt:lpstr>verif-jurys</vt:lpstr>
      <vt:lpstr>CONVOCATIONS</vt:lpstr>
      <vt:lpstr>Affectations!Zone_d_impression</vt:lpstr>
      <vt:lpstr>'E4-2016'!Zone_d_impression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Hamza Benketaf</cp:lastModifiedBy>
  <cp:lastPrinted>2023-10-19T12:49:51Z</cp:lastPrinted>
  <dcterms:created xsi:type="dcterms:W3CDTF">2013-01-22T21:18:40Z</dcterms:created>
  <dcterms:modified xsi:type="dcterms:W3CDTF">2023-10-19T12:54:09Z</dcterms:modified>
</cp:coreProperties>
</file>